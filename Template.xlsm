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M:\Monashee Projects\Daily\MEF\MPA, MCP, Kiski\R Code\New Setup\Excel Template\"/>
    </mc:Choice>
  </mc:AlternateContent>
  <xr:revisionPtr revIDLastSave="0" documentId="13_ncr:1_{D1CD1B24-32DD-4030-896F-C935B9105A63}" xr6:coauthVersionLast="33" xr6:coauthVersionMax="33" xr10:uidLastSave="{00000000-0000-0000-0000-000000000000}"/>
  <bookViews>
    <workbookView xWindow="0" yWindow="0" windowWidth="28800" windowHeight="11625" xr2:uid="{9CF117E7-934F-4479-BE2F-2712B9F2A80F}"/>
  </bookViews>
  <sheets>
    <sheet name="Long" sheetId="1" r:id="rId1"/>
    <sheet name="Short" sheetId="2" r:id="rId2"/>
    <sheet name="Consolidated Trades" sheetId="193" r:id="rId3"/>
    <sheet name="Exposure Snap Shot" sheetId="7" r:id="rId4"/>
    <sheet name="Buy" sheetId="3" r:id="rId5"/>
    <sheet name="Cover" sheetId="4" r:id="rId6"/>
    <sheet name="Sell" sheetId="5" r:id="rId7"/>
    <sheet name="Short Trades" sheetId="6" r:id="rId8"/>
    <sheet name="Output_Long" sheetId="360" r:id="rId9"/>
    <sheet name="Output_Short" sheetId="361" r:id="rId10"/>
    <sheet name="Recent Trades_Buy" sheetId="362" r:id="rId11"/>
    <sheet name="Recent Trades_Sell" sheetId="363" r:id="rId12"/>
    <sheet name="Recent Trades_Short" sheetId="364" r:id="rId13"/>
    <sheet name="Sector_Exposure" sheetId="365" r:id="rId14"/>
    <sheet name="Top_10_Stocks_Exposure" sheetId="366" r:id="rId15"/>
  </sheets>
  <functionGroups builtInGroupCount="19"/>
  <definedNames>
    <definedName name="_xlnm.Print_Area" localSheetId="5">Cover!$A$1:$H$4</definedName>
    <definedName name="_xlnm.Print_Area" localSheetId="3">'Exposure Snap Shot'!$A$1:$G$37</definedName>
    <definedName name="_xlnm.Print_Titles" localSheetId="0">Long!$2:$3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193" l="1"/>
  <c r="A1" i="7" l="1"/>
  <c r="A1" i="3"/>
  <c r="A1" i="2"/>
  <c r="A1" i="1"/>
</calcChain>
</file>

<file path=xl/sharedStrings.xml><?xml version="1.0" encoding="utf-8"?>
<sst xmlns="http://schemas.openxmlformats.org/spreadsheetml/2006/main" count="2073" uniqueCount="467">
  <si>
    <t>Ticker</t>
  </si>
  <si>
    <t>Name</t>
  </si>
  <si>
    <t>Type</t>
  </si>
  <si>
    <t>Deal Captain</t>
  </si>
  <si>
    <t>Sector</t>
  </si>
  <si>
    <t>Current Quantity</t>
  </si>
  <si>
    <t>% of Max</t>
  </si>
  <si>
    <t>Days Held</t>
  </si>
  <si>
    <t>Last Close Price</t>
  </si>
  <si>
    <t>Avg. Cost Price</t>
  </si>
  <si>
    <t>Ultimate Stop Price</t>
  </si>
  <si>
    <t>Target Price</t>
  </si>
  <si>
    <t>DTD Gross P&amp;L</t>
  </si>
  <si>
    <t>Current Gross Exposure</t>
  </si>
  <si>
    <t>LONG</t>
  </si>
  <si>
    <t>AB US</t>
  </si>
  <si>
    <t>Other</t>
  </si>
  <si>
    <t>Will</t>
  </si>
  <si>
    <t>Fin</t>
  </si>
  <si>
    <t>IND</t>
  </si>
  <si>
    <t>FO</t>
  </si>
  <si>
    <t>Tom</t>
  </si>
  <si>
    <t>HC</t>
  </si>
  <si>
    <t>IPO</t>
  </si>
  <si>
    <t>ATTO US</t>
  </si>
  <si>
    <t>Jay</t>
  </si>
  <si>
    <t>UTLS</t>
  </si>
  <si>
    <t>AXL US</t>
  </si>
  <si>
    <t>BERY US</t>
  </si>
  <si>
    <t>MTLS</t>
  </si>
  <si>
    <t>BOX US</t>
  </si>
  <si>
    <t>Tech</t>
  </si>
  <si>
    <t>CASA US</t>
  </si>
  <si>
    <t>CD</t>
  </si>
  <si>
    <t>CLNC US</t>
  </si>
  <si>
    <t>CONN US</t>
  </si>
  <si>
    <t>COUP US</t>
  </si>
  <si>
    <t>CSCO US</t>
  </si>
  <si>
    <t>CVLT US</t>
  </si>
  <si>
    <t>DRNA US</t>
  </si>
  <si>
    <t>EPAY US</t>
  </si>
  <si>
    <t>EQBK US</t>
  </si>
  <si>
    <t>ESQ US</t>
  </si>
  <si>
    <t>FBM US</t>
  </si>
  <si>
    <t>FSCT US</t>
  </si>
  <si>
    <t>GDDY US</t>
  </si>
  <si>
    <t>GPP US</t>
  </si>
  <si>
    <t>NRG</t>
  </si>
  <si>
    <t>HMI US</t>
  </si>
  <si>
    <t>Huami Corp</t>
  </si>
  <si>
    <t>RE</t>
  </si>
  <si>
    <t>IFRX US</t>
  </si>
  <si>
    <t>IRMD US</t>
  </si>
  <si>
    <t>Iradimed Corp</t>
  </si>
  <si>
    <t>KKR US</t>
  </si>
  <si>
    <t>LEVL US</t>
  </si>
  <si>
    <t>LOGM US</t>
  </si>
  <si>
    <t>MYOK US</t>
  </si>
  <si>
    <t>NTB US</t>
  </si>
  <si>
    <t>PDLB US</t>
  </si>
  <si>
    <t>PSTG US</t>
  </si>
  <si>
    <t>PVTL US</t>
  </si>
  <si>
    <t>REVG US</t>
  </si>
  <si>
    <t>RWT US</t>
  </si>
  <si>
    <t>SAGE US</t>
  </si>
  <si>
    <t>SAIL US</t>
  </si>
  <si>
    <t>SEND US</t>
  </si>
  <si>
    <t>Sendgrid Inc</t>
  </si>
  <si>
    <t>SOI US</t>
  </si>
  <si>
    <t>TRMT US</t>
  </si>
  <si>
    <t>TSLX US</t>
  </si>
  <si>
    <t>TYME US</t>
  </si>
  <si>
    <t>UNVR US</t>
  </si>
  <si>
    <t>Univar Inc</t>
  </si>
  <si>
    <t>WAAS US</t>
  </si>
  <si>
    <t>WMIH US</t>
  </si>
  <si>
    <t>ZUO US</t>
  </si>
  <si>
    <t>SHORTs</t>
  </si>
  <si>
    <t>ADSW US</t>
  </si>
  <si>
    <t>ADT US</t>
  </si>
  <si>
    <t>MLVF US</t>
  </si>
  <si>
    <t>NINE US</t>
  </si>
  <si>
    <t>NVDA US</t>
  </si>
  <si>
    <t>OBLN US</t>
  </si>
  <si>
    <t>TSLA US</t>
  </si>
  <si>
    <t>TUSK US</t>
  </si>
  <si>
    <t>TWLO US</t>
  </si>
  <si>
    <t>SPY_M US</t>
  </si>
  <si>
    <t>XBI US</t>
  </si>
  <si>
    <t>XLE US</t>
  </si>
  <si>
    <t>Quantity Bought</t>
  </si>
  <si>
    <t>Net Money $)</t>
  </si>
  <si>
    <t>Average Bought Price ($)</t>
  </si>
  <si>
    <t>EOD Quantity</t>
  </si>
  <si>
    <t>BUY</t>
  </si>
  <si>
    <t>Quantity Sold</t>
  </si>
  <si>
    <t>Average Sold Price ($)</t>
  </si>
  <si>
    <t>SELL</t>
  </si>
  <si>
    <t>Cover</t>
  </si>
  <si>
    <t>Short</t>
  </si>
  <si>
    <t>Gross $ Exposure</t>
  </si>
  <si>
    <t>Exposure as % of AUM</t>
  </si>
  <si>
    <t>Exposure as % of Total</t>
  </si>
  <si>
    <t>Consumer Discretionary</t>
  </si>
  <si>
    <t>Consumer Staples</t>
  </si>
  <si>
    <t>Energy</t>
  </si>
  <si>
    <t>Financials</t>
  </si>
  <si>
    <t>Health Care</t>
  </si>
  <si>
    <t>Industrials</t>
  </si>
  <si>
    <t>Information Technology</t>
  </si>
  <si>
    <t>Materials</t>
  </si>
  <si>
    <t>Real Estate</t>
  </si>
  <si>
    <t>Telecommunication Services</t>
  </si>
  <si>
    <t>Utilities</t>
  </si>
  <si>
    <t>DTD Gross P&amp;L as % of AUM</t>
  </si>
  <si>
    <t>Percentage_of_max</t>
  </si>
  <si>
    <t>Days_held</t>
  </si>
  <si>
    <t>Avg_Cost_Price</t>
  </si>
  <si>
    <t>Gross Exposure</t>
  </si>
  <si>
    <t>Alliance Bernstein Holding LP</t>
  </si>
  <si>
    <t>Advanced Disposal Services I</t>
  </si>
  <si>
    <t>FO, Other</t>
  </si>
  <si>
    <t>ALTR US</t>
  </si>
  <si>
    <t>Altera Corp</t>
  </si>
  <si>
    <t>ARDX US</t>
  </si>
  <si>
    <t>Ardelyx Inc</t>
  </si>
  <si>
    <t>ASUR US</t>
  </si>
  <si>
    <t>Asure Software Inc</t>
  </si>
  <si>
    <t>Atento SA</t>
  </si>
  <si>
    <t>AVLR US</t>
  </si>
  <si>
    <t>Avalara Inc</t>
  </si>
  <si>
    <t>AXGN US</t>
  </si>
  <si>
    <t>Axogen Inc</t>
  </si>
  <si>
    <t xml:space="preserve">American Axle &amp; Manufacturing </t>
  </si>
  <si>
    <t>AYR US</t>
  </si>
  <si>
    <t>Aircastle Ltd</t>
  </si>
  <si>
    <t>BABA US</t>
  </si>
  <si>
    <t>Alibaba Group Holding SP ADR</t>
  </si>
  <si>
    <t>BAND US</t>
  </si>
  <si>
    <t>Band &amp; Co.</t>
  </si>
  <si>
    <t>BERRY PLASTICS GROUP INC</t>
  </si>
  <si>
    <t>BHF US</t>
  </si>
  <si>
    <t>Brighthouse Financial Inc</t>
  </si>
  <si>
    <t>BOX INC- CLASS A</t>
  </si>
  <si>
    <t>Casa Systems Inc</t>
  </si>
  <si>
    <t>CATB US</t>
  </si>
  <si>
    <t>Catabasis Pharmaceuticals Inc</t>
  </si>
  <si>
    <t>CHMI US</t>
  </si>
  <si>
    <t>Cherry Hill Mortgage Investmen</t>
  </si>
  <si>
    <t>CHRA US</t>
  </si>
  <si>
    <t>Charah Solutions Inc</t>
  </si>
  <si>
    <t>CHRS US</t>
  </si>
  <si>
    <t>Coherus Biosciences Inc</t>
  </si>
  <si>
    <t>CIR US</t>
  </si>
  <si>
    <t>Circor International Inc</t>
  </si>
  <si>
    <t>CISN US</t>
  </si>
  <si>
    <t>Cision Ltd</t>
  </si>
  <si>
    <t>Colony Northstar Credit Real E</t>
  </si>
  <si>
    <t>CLXT US</t>
  </si>
  <si>
    <t>Calyxt Inc</t>
  </si>
  <si>
    <t>COLD US</t>
  </si>
  <si>
    <t>Americold Realty Trust</t>
  </si>
  <si>
    <t>Conn's Inc</t>
  </si>
  <si>
    <t>Cisco Systems Inc</t>
  </si>
  <si>
    <t>CSOD US</t>
  </si>
  <si>
    <t>CORNERSTONE ONDEMAND INC</t>
  </si>
  <si>
    <t>CURO US</t>
  </si>
  <si>
    <t>Curo Group Holdings Corp</t>
  </si>
  <si>
    <t>CommVault Systems Inc</t>
  </si>
  <si>
    <t>CVON US</t>
  </si>
  <si>
    <t>ConvergeOne Holdings Inc</t>
  </si>
  <si>
    <t>DCPH US</t>
  </si>
  <si>
    <t>Deciphera Pharmaceuticals Inc</t>
  </si>
  <si>
    <t>DEA US</t>
  </si>
  <si>
    <t>Easterly Government Properties</t>
  </si>
  <si>
    <t>DICERNA PHARMACEUTICALS INC</t>
  </si>
  <si>
    <t>EIDX US</t>
  </si>
  <si>
    <t>Eidos Therapeutics Inc</t>
  </si>
  <si>
    <t>Bottomline Technologies Inc</t>
  </si>
  <si>
    <t>Equity Bancshares Inc</t>
  </si>
  <si>
    <t>EQH US</t>
  </si>
  <si>
    <t>Axa Equitable Holdings Inc</t>
  </si>
  <si>
    <t>Esquire financial holdings I</t>
  </si>
  <si>
    <t>ETR US</t>
  </si>
  <si>
    <t>Entergy Corp</t>
  </si>
  <si>
    <t>EVOP US</t>
  </si>
  <si>
    <t>EVO Payments Inc Class A</t>
  </si>
  <si>
    <t>FBC US</t>
  </si>
  <si>
    <t>Flagstar Bancorp Inc</t>
  </si>
  <si>
    <t>FBK US</t>
  </si>
  <si>
    <t>FB Financial Corp</t>
  </si>
  <si>
    <t>Foundation Building Material</t>
  </si>
  <si>
    <t>FDC US</t>
  </si>
  <si>
    <t>First Data Corp</t>
  </si>
  <si>
    <t>FPAC/U US</t>
  </si>
  <si>
    <t>Far Point Acquisition Corp</t>
  </si>
  <si>
    <t>Forescout Technologies inc</t>
  </si>
  <si>
    <t>Godaddy Inc Class A</t>
  </si>
  <si>
    <t>GFF US</t>
  </si>
  <si>
    <t>Griffon Corp</t>
  </si>
  <si>
    <t>GLMD US</t>
  </si>
  <si>
    <t>Galmed Pharmaceuticals</t>
  </si>
  <si>
    <t>GLOB US</t>
  </si>
  <si>
    <t>Globant SA</t>
  </si>
  <si>
    <t>Green Plains Partners LP</t>
  </si>
  <si>
    <t>GSAH/U US</t>
  </si>
  <si>
    <t>GS Acquisition Holdings Corp</t>
  </si>
  <si>
    <t>GSKY US</t>
  </si>
  <si>
    <t>Greensky Inc Class -A</t>
  </si>
  <si>
    <t>HCC US</t>
  </si>
  <si>
    <t>HCC Insurance Holdings Inc</t>
  </si>
  <si>
    <t>HLI US</t>
  </si>
  <si>
    <t>Houlihan Lokey Inc</t>
  </si>
  <si>
    <t>HOME US</t>
  </si>
  <si>
    <t>Home Federal Bancorp Inc</t>
  </si>
  <si>
    <t>I US</t>
  </si>
  <si>
    <t>Intelsat SA</t>
  </si>
  <si>
    <t>Telcom</t>
  </si>
  <si>
    <t>Inflarx NV</t>
  </si>
  <si>
    <t>IMGN US</t>
  </si>
  <si>
    <t>Immunogen Inc</t>
  </si>
  <si>
    <t>IMMU US</t>
  </si>
  <si>
    <t>Immunomedics INC</t>
  </si>
  <si>
    <t>INBK US</t>
  </si>
  <si>
    <t>FIRST INTERNET BANCORP</t>
  </si>
  <si>
    <t>IQV US</t>
  </si>
  <si>
    <t>IQVIA Holdings Inc</t>
  </si>
  <si>
    <t>ITRM US</t>
  </si>
  <si>
    <t>Iterum Therapeutics plc</t>
  </si>
  <si>
    <t>JCAP US</t>
  </si>
  <si>
    <t>Jernigan Capital Inc</t>
  </si>
  <si>
    <t>KDMN US</t>
  </si>
  <si>
    <t>Kadmon Holdings Inc</t>
  </si>
  <si>
    <t>KIN US</t>
  </si>
  <si>
    <t>KINDRED BIOSCIENCES INC</t>
  </si>
  <si>
    <t>KKR &amp; CO LP</t>
  </si>
  <si>
    <t>Level One Bancorp Inc</t>
  </si>
  <si>
    <t>WILL</t>
  </si>
  <si>
    <t>LOGMEIN INC</t>
  </si>
  <si>
    <t>MB US</t>
  </si>
  <si>
    <t>MindBody Inc Class A</t>
  </si>
  <si>
    <t>MDGL US</t>
  </si>
  <si>
    <t>Madrigal Pharmaceuticals Inc</t>
  </si>
  <si>
    <t>MGTX US</t>
  </si>
  <si>
    <t>Meiragtx Holdings Plc</t>
  </si>
  <si>
    <t>MLNT US</t>
  </si>
  <si>
    <t>Melinta Therapeutics Inc</t>
  </si>
  <si>
    <t>MRTX US</t>
  </si>
  <si>
    <t>MIRATI THERAPEUTICS INC</t>
  </si>
  <si>
    <t>MYE US</t>
  </si>
  <si>
    <t>Myers Industries Inc</t>
  </si>
  <si>
    <t>MyoKardia Inc</t>
  </si>
  <si>
    <t>NESR US</t>
  </si>
  <si>
    <t>National Energy Services Reuni</t>
  </si>
  <si>
    <t>Bank of NT Butterfield &amp; Son</t>
  </si>
  <si>
    <t>OPTN US</t>
  </si>
  <si>
    <t>Option Care Inc/Delaware</t>
  </si>
  <si>
    <t>PAGS US</t>
  </si>
  <si>
    <t>Pagseguro Digital ltd CL A</t>
  </si>
  <si>
    <t>PDL Community Bancorp</t>
  </si>
  <si>
    <t>PFNX US</t>
  </si>
  <si>
    <t>Pfenex Inc.</t>
  </si>
  <si>
    <t>PS US</t>
  </si>
  <si>
    <t>Pluralsight Inc-A</t>
  </si>
  <si>
    <t>Pure Storage Inc</t>
  </si>
  <si>
    <t>REDU US</t>
  </si>
  <si>
    <t>Rise Education Cayman - Adr</t>
  </si>
  <si>
    <t>REV Group Inc</t>
  </si>
  <si>
    <t>RP US</t>
  </si>
  <si>
    <t>RealPage Inc</t>
  </si>
  <si>
    <t>Redwood Trust Inc</t>
  </si>
  <si>
    <t>RYTM US</t>
  </si>
  <si>
    <t>Rhythm Pharmaceuticals Inc</t>
  </si>
  <si>
    <t>Sage Therapeutics Inc</t>
  </si>
  <si>
    <t>SailPoint Technologies Holding</t>
  </si>
  <si>
    <t>Solaris Oilfield Infrast-A</t>
  </si>
  <si>
    <t>SRRK US</t>
  </si>
  <si>
    <t>Scholar Rock Holding Corp</t>
  </si>
  <si>
    <t>TELL US</t>
  </si>
  <si>
    <t>Pipelines</t>
  </si>
  <si>
    <t>Tremont Mortgage Trust</t>
  </si>
  <si>
    <t>TSC US</t>
  </si>
  <si>
    <t>TRISTATE CAPITAL HOLDINGS INC</t>
  </si>
  <si>
    <t>TPG Specialty Lending Inc</t>
  </si>
  <si>
    <t>TTOO US</t>
  </si>
  <si>
    <t>T2 Biosystems Inc</t>
  </si>
  <si>
    <t>Tyme Technologies Inc</t>
  </si>
  <si>
    <t>USAC US</t>
  </si>
  <si>
    <t>USA Compression Partners LP</t>
  </si>
  <si>
    <t>USAP US</t>
  </si>
  <si>
    <t>Universal Stainless &amp; Alloy</t>
  </si>
  <si>
    <t>USAT US</t>
  </si>
  <si>
    <t>USA Technologies Inc</t>
  </si>
  <si>
    <t>USX US</t>
  </si>
  <si>
    <t>US Xpress Enterprises Inc A</t>
  </si>
  <si>
    <t>VCEL US</t>
  </si>
  <si>
    <t>Vericel Corp</t>
  </si>
  <si>
    <t>VIRT US</t>
  </si>
  <si>
    <t>Virtu Financial Inc Class A</t>
  </si>
  <si>
    <t>VKTX US</t>
  </si>
  <si>
    <t>Viking Therapeutics Inc</t>
  </si>
  <si>
    <t>VRCA US</t>
  </si>
  <si>
    <t>Verrica Pharmaceuticals Inc</t>
  </si>
  <si>
    <t>VTIQU US</t>
  </si>
  <si>
    <t>Vectoiq Acquisition Corp</t>
  </si>
  <si>
    <t>Aquaventure Holdings LTD</t>
  </si>
  <si>
    <t>WMIH Corp</t>
  </si>
  <si>
    <t>WMS US</t>
  </si>
  <si>
    <t>ADVANCED DRAINAGE SYSTEMS INC.</t>
  </si>
  <si>
    <t>ZYME US</t>
  </si>
  <si>
    <t>Zymeworks Inc</t>
  </si>
  <si>
    <t>ADT Inc.</t>
  </si>
  <si>
    <t>Coupons.com</t>
  </si>
  <si>
    <t>FRC US</t>
  </si>
  <si>
    <t>First Republic Bank/San Franci</t>
  </si>
  <si>
    <t>Malvern Bancorp Inc</t>
  </si>
  <si>
    <t>Nine Energy Service Ince</t>
  </si>
  <si>
    <t>Nvidia Corp</t>
  </si>
  <si>
    <t>Obalon Therapeutics Inc</t>
  </si>
  <si>
    <t>Pivotal Software Inc</t>
  </si>
  <si>
    <t>Tesla Motors Inc</t>
  </si>
  <si>
    <t>Mammoth Energy Services Inc</t>
  </si>
  <si>
    <t>TWL CORP</t>
  </si>
  <si>
    <t>VSH US</t>
  </si>
  <si>
    <t>Vishay Intertechnology Inc</t>
  </si>
  <si>
    <t>ZS US</t>
  </si>
  <si>
    <t>Zscaler INC</t>
  </si>
  <si>
    <t>Zuora Inc - Class A</t>
  </si>
  <si>
    <t>SPDR Trust Series 1</t>
  </si>
  <si>
    <t>Hedging</t>
  </si>
  <si>
    <t>Spdr S&amp;P Biotech Etf</t>
  </si>
  <si>
    <t>Energy Select Sector SPDR Fund</t>
  </si>
  <si>
    <t>Net Money ($)</t>
  </si>
  <si>
    <t>GLOB</t>
  </si>
  <si>
    <t>GLOBANT SA</t>
  </si>
  <si>
    <t>PAGS</t>
  </si>
  <si>
    <t>PAGSEGURO DIGITAL LTD</t>
  </si>
  <si>
    <t>JAY</t>
  </si>
  <si>
    <t>TOM</t>
  </si>
  <si>
    <t>AYR</t>
  </si>
  <si>
    <t>AIRCASTLE LTD</t>
  </si>
  <si>
    <t>BOOT</t>
  </si>
  <si>
    <t>BOOT BARN HOLDINGS INC</t>
  </si>
  <si>
    <t>CURO</t>
  </si>
  <si>
    <t>CURO GROUP HOLDINGS CORP</t>
  </si>
  <si>
    <t>DCPH</t>
  </si>
  <si>
    <t>DECIPHERA PHARMACEUTICALS IN</t>
  </si>
  <si>
    <t>EQH</t>
  </si>
  <si>
    <t>AXA EQUITABLE HOLDINGS INC</t>
  </si>
  <si>
    <t>EVOP</t>
  </si>
  <si>
    <t>EVO PAYMENTS INC-CLASS A</t>
  </si>
  <si>
    <t>FBK</t>
  </si>
  <si>
    <t>FB FINANCIAL CORP</t>
  </si>
  <si>
    <t>GDDY</t>
  </si>
  <si>
    <t>GODADDY INC - CLASS A</t>
  </si>
  <si>
    <t>GSKY</t>
  </si>
  <si>
    <t>GREENSKY INC-CLASS A</t>
  </si>
  <si>
    <t>IFRX</t>
  </si>
  <si>
    <t>FIREMAN BV</t>
  </si>
  <si>
    <t>IQV</t>
  </si>
  <si>
    <t>IQVIA HOLDINGS INC</t>
  </si>
  <si>
    <t>ITRM</t>
  </si>
  <si>
    <t>ITERUM THERAPEUTICS PLC</t>
  </si>
  <si>
    <t>MYE</t>
  </si>
  <si>
    <t>MYERS INDUSTRIES INC</t>
  </si>
  <si>
    <t>PFNX</t>
  </si>
  <si>
    <t>PFENEX INC</t>
  </si>
  <si>
    <t>PS</t>
  </si>
  <si>
    <t>PLURALSIGHT INC-CLASS A</t>
  </si>
  <si>
    <t>RP</t>
  </si>
  <si>
    <t>REALPAGE INC</t>
  </si>
  <si>
    <t>USAT</t>
  </si>
  <si>
    <t>USA TECHNOLOGIES INC</t>
  </si>
  <si>
    <t>VHM VN</t>
  </si>
  <si>
    <t>Vinhomes JSC - SWAP -</t>
  </si>
  <si>
    <t>Frank</t>
  </si>
  <si>
    <t>VIRT</t>
  </si>
  <si>
    <t>VIRTU FINANCIAL INC-CLASS A</t>
  </si>
  <si>
    <t>US LONG EXPOSURE BY SECTOR (sorted alphabetically)</t>
  </si>
  <si>
    <t>Notes:</t>
  </si>
  <si>
    <t>1. Long Exposure by sector only includes exposure in IPOs, FOs and Long-FNDs. Does not include exposure in Shorts and Hedge</t>
  </si>
  <si>
    <t>2. AUM is taken for all 3 funds combined</t>
  </si>
  <si>
    <t>3. New Tickers, which have not yet been mapped in MDD, may not be included in the Exposure table and pie chart</t>
  </si>
  <si>
    <t>4. Source: Monashee Positions file, MDD</t>
  </si>
  <si>
    <t>2. Deals are sorted alphabetically</t>
  </si>
  <si>
    <t>3. Current Quantity is the quantity across all strategies of the same ticker</t>
  </si>
  <si>
    <t>4. Last close price, Gross Exposure, DTD Gross P&amp;L are sourced from Monashee Positions File</t>
  </si>
  <si>
    <t>5. DTD Gross P&amp;L is before hedge P&amp;L and cash related P&amp;L</t>
  </si>
  <si>
    <t>6. Source: Monashee Positions File, Risk Reward Report, Daily Trade Blotter</t>
  </si>
  <si>
    <t>2. Current Quantity is the quantity across all strategies of the same ticker</t>
  </si>
  <si>
    <t>3. Last close price is sourced from Monashee Positions File, which does not provide the last close for deals with EOD quantity =0</t>
  </si>
  <si>
    <t>4. Source: Daily Trade Blotter, Monashee Positions file for EOD Quantity</t>
  </si>
  <si>
    <t>1. Includes list of all US deals (Long) as present in Monashee Positions File dated 06-21-2018</t>
  </si>
  <si>
    <t>1. Includes list of all US deals (Short) as present in Monashee Positions File dated 06-21-2018</t>
  </si>
  <si>
    <t>1. Includes list of all Buy/Sell/Short/Cover in US Deals as on 06-21-2018</t>
  </si>
  <si>
    <t>TOP 10 STOCKs BY EXPOSURE</t>
  </si>
  <si>
    <t>APTX US</t>
  </si>
  <si>
    <t>Aptinyx Inc</t>
  </si>
  <si>
    <t>AVRO US</t>
  </si>
  <si>
    <t>Avrobio Inc</t>
  </si>
  <si>
    <t>CDTX US</t>
  </si>
  <si>
    <t>CIDARA THERAPEUTICS INC</t>
  </si>
  <si>
    <t>CRZO US</t>
  </si>
  <si>
    <t>Carrizo Oil &amp; Gas Inc</t>
  </si>
  <si>
    <t>EPRT US</t>
  </si>
  <si>
    <t>Essential Properties Realty</t>
  </si>
  <si>
    <t>GOOS US</t>
  </si>
  <si>
    <t>Canada Goose Holdings Inc</t>
  </si>
  <si>
    <t>IIIV US</t>
  </si>
  <si>
    <t>I3 Verticals Inc Class A</t>
  </si>
  <si>
    <t>KZR US</t>
  </si>
  <si>
    <t>Kezar Life Sciences Inc</t>
  </si>
  <si>
    <t>LMNR US</t>
  </si>
  <si>
    <t>LIMONEIRA CO</t>
  </si>
  <si>
    <t>MGTA US</t>
  </si>
  <si>
    <t>Magenta Therapeutics</t>
  </si>
  <si>
    <t>OBSV US</t>
  </si>
  <si>
    <t>Obseva SA</t>
  </si>
  <si>
    <t>VERI US</t>
  </si>
  <si>
    <t>Veritone Inc</t>
  </si>
  <si>
    <t>XERS US</t>
  </si>
  <si>
    <t>Xeris Pharmaceuticals Inc</t>
  </si>
  <si>
    <t>CBLK US</t>
  </si>
  <si>
    <t>Carbon Black Inc</t>
  </si>
  <si>
    <t>APTX</t>
  </si>
  <si>
    <t>APTINYX INC</t>
  </si>
  <si>
    <t>AVRO</t>
  </si>
  <si>
    <t>AVROBIO INC</t>
  </si>
  <si>
    <t>CRZO</t>
  </si>
  <si>
    <t>CARRIZO OIL &amp; GAS INC</t>
  </si>
  <si>
    <t>EPRT</t>
  </si>
  <si>
    <t>ESSENTIAL PROPERTIES REALTY</t>
  </si>
  <si>
    <t>GOOS</t>
  </si>
  <si>
    <t>CANADA GOOSE HOLDINGS INC</t>
  </si>
  <si>
    <t>IIIV</t>
  </si>
  <si>
    <t>I3 VERTICALS INC-CLASS A</t>
  </si>
  <si>
    <t>KZR</t>
  </si>
  <si>
    <t>KEZAR LIFE SCIENCES INC</t>
  </si>
  <si>
    <t>LMNR</t>
  </si>
  <si>
    <t>MGTA</t>
  </si>
  <si>
    <t>MAGENTA THERAPEUTICS INC</t>
  </si>
  <si>
    <t>OBSV</t>
  </si>
  <si>
    <t>OBSEVA SA</t>
  </si>
  <si>
    <t>RYTM</t>
  </si>
  <si>
    <t>RHYTHM PHARMACEUTICALS INC</t>
  </si>
  <si>
    <t>VERI</t>
  </si>
  <si>
    <t>VERITONE INC</t>
  </si>
  <si>
    <t>XERS</t>
  </si>
  <si>
    <t>XERIS PHARMACEUTICALS INC</t>
  </si>
  <si>
    <t>AVLR</t>
  </si>
  <si>
    <t>AVALARA INC</t>
  </si>
  <si>
    <t>CIR</t>
  </si>
  <si>
    <t>CIRCOR INTERNATIONAL INC</t>
  </si>
  <si>
    <t>LINK IJ SWAP</t>
  </si>
  <si>
    <t>LINK NET TBK PT - SWAP -</t>
  </si>
  <si>
    <t>MGTX</t>
  </si>
  <si>
    <t>MEIRAGTX HOLDINGS PLC</t>
  </si>
  <si>
    <t>SOI</t>
  </si>
  <si>
    <t>SOLARIS OILFIELD INFRAST-A</t>
  </si>
  <si>
    <t>SRRK</t>
  </si>
  <si>
    <t>SCHOLAR ROCK HOLDING CORP</t>
  </si>
  <si>
    <t>TELL</t>
  </si>
  <si>
    <t>TELLURIAN INC</t>
  </si>
  <si>
    <t>VCEL</t>
  </si>
  <si>
    <t>VERICEL CORP</t>
  </si>
  <si>
    <t>CBLK</t>
  </si>
  <si>
    <t>CARBON BLACK INC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</si>
</sst>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_-&quot;£&quot;* #,##0.00_-;\-&quot;£&quot;* #,##0.00_-;_-&quot;£&quot;* &quot;-&quot;??_-;_-@_-"/>
    <numFmt numFmtId="165" formatCode="_-* #,##0.00_-;\-* #,##0.00_-;_-* &quot;-&quot;??_-;_-@_-"/>
    <numFmt numFmtId="166" formatCode="\$#,##0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 tint="4.9989318521683403E-2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theme="6" tint="0.79998168889431442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6"/>
      </top>
      <bottom/>
      <diagonal/>
    </border>
    <border>
      <left/>
      <right style="dashDotDot">
        <color indexed="64"/>
      </right>
      <top style="thin">
        <color indexed="64"/>
      </top>
      <bottom style="thin">
        <color indexed="64"/>
      </bottom>
      <diagonal/>
    </border>
    <border>
      <left/>
      <right style="dashDotDot">
        <color indexed="64"/>
      </right>
      <top style="thin">
        <color indexed="64"/>
      </top>
      <bottom/>
      <diagonal/>
    </border>
    <border>
      <left/>
      <right style="dashDotDot">
        <color indexed="64"/>
      </right>
      <top/>
      <bottom/>
      <diagonal/>
    </border>
    <border>
      <left style="dashDotDot">
        <color indexed="64"/>
      </left>
      <right/>
      <top style="thin">
        <color indexed="64"/>
      </top>
      <bottom/>
      <diagonal/>
    </border>
    <border>
      <left style="dashDotDot">
        <color indexed="64"/>
      </left>
      <right/>
      <top/>
      <bottom/>
      <diagonal/>
    </border>
    <border>
      <left/>
      <right/>
      <top/>
      <bottom style="thin">
        <color theme="6"/>
      </bottom>
      <diagonal/>
    </border>
  </borders>
  <cellStyleXfs count="46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6">
    <xf numFmtId="0" fontId="0" fillId="0" borderId="0" xfId="0"/>
    <xf numFmtId="3" fontId="0" fillId="0" borderId="16" xfId="0" applyNumberFormat="1" applyFont="1" applyFill="1" applyBorder="1" applyAlignment="1">
      <alignment horizontal="center" vertical="center"/>
    </xf>
    <xf numFmtId="0" fontId="0" fillId="0" borderId="0" xfId="0"/>
    <xf numFmtId="0" fontId="20" fillId="0" borderId="0" xfId="0" applyFont="1" applyAlignment="1">
      <alignment vertical="center"/>
    </xf>
    <xf numFmtId="3" fontId="20" fillId="0" borderId="0" xfId="0" applyNumberFormat="1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4" fontId="20" fillId="0" borderId="0" xfId="0" applyNumberFormat="1" applyFont="1" applyAlignment="1">
      <alignment horizontal="center" vertical="center"/>
    </xf>
    <xf numFmtId="0" fontId="16" fillId="0" borderId="11" xfId="0" applyFont="1" applyBorder="1" applyAlignment="1">
      <alignment vertical="center" wrapText="1"/>
    </xf>
    <xf numFmtId="0" fontId="16" fillId="0" borderId="11" xfId="0" applyFont="1" applyBorder="1" applyAlignment="1">
      <alignment horizontal="center" vertical="center" wrapText="1"/>
    </xf>
    <xf numFmtId="0" fontId="0" fillId="0" borderId="0" xfId="0" applyFont="1" applyFill="1" applyBorder="1" applyAlignment="1">
      <alignment vertical="center"/>
    </xf>
    <xf numFmtId="0" fontId="0" fillId="0" borderId="0" xfId="0" applyFont="1" applyFill="1" applyBorder="1" applyAlignment="1">
      <alignment horizontal="center" vertical="center"/>
    </xf>
    <xf numFmtId="3" fontId="0" fillId="0" borderId="0" xfId="0" applyNumberFormat="1" applyFont="1" applyFill="1" applyBorder="1" applyAlignment="1">
      <alignment horizontal="center" vertical="center"/>
    </xf>
    <xf numFmtId="9" fontId="0" fillId="0" borderId="0" xfId="0" applyNumberFormat="1" applyFont="1" applyFill="1" applyBorder="1" applyAlignment="1">
      <alignment horizontal="center" vertical="center"/>
    </xf>
    <xf numFmtId="2" fontId="0" fillId="0" borderId="0" xfId="0" applyNumberFormat="1" applyFont="1" applyFill="1" applyBorder="1" applyAlignment="1">
      <alignment horizontal="center" vertical="center"/>
    </xf>
    <xf numFmtId="166" fontId="0" fillId="0" borderId="0" xfId="0" applyNumberFormat="1" applyFont="1" applyFill="1" applyBorder="1" applyAlignment="1">
      <alignment horizontal="center" vertical="center"/>
    </xf>
    <xf numFmtId="0" fontId="16" fillId="0" borderId="14" xfId="0" applyFont="1" applyBorder="1" applyAlignment="1">
      <alignment vertical="center" wrapText="1"/>
    </xf>
    <xf numFmtId="0" fontId="0" fillId="0" borderId="16" xfId="0" applyFont="1" applyFill="1" applyBorder="1" applyAlignment="1">
      <alignment vertical="center"/>
    </xf>
    <xf numFmtId="0" fontId="16" fillId="0" borderId="14" xfId="0" applyFont="1" applyBorder="1" applyAlignment="1">
      <alignment horizontal="center" vertical="center" wrapText="1"/>
    </xf>
    <xf numFmtId="0" fontId="0" fillId="0" borderId="16" xfId="0" applyFont="1" applyFill="1" applyBorder="1" applyAlignment="1">
      <alignment horizontal="center" vertical="center"/>
    </xf>
    <xf numFmtId="2" fontId="0" fillId="0" borderId="16" xfId="0" applyNumberFormat="1" applyFont="1" applyFill="1" applyBorder="1" applyAlignment="1">
      <alignment horizontal="center" vertical="center"/>
    </xf>
    <xf numFmtId="0" fontId="19" fillId="33" borderId="11" xfId="0" applyFont="1" applyFill="1" applyBorder="1" applyAlignment="1">
      <alignment horizontal="center" vertical="center" wrapText="1"/>
    </xf>
    <xf numFmtId="0" fontId="0" fillId="0" borderId="10" xfId="0" applyFont="1" applyFill="1" applyBorder="1" applyAlignment="1">
      <alignment vertical="center"/>
    </xf>
    <xf numFmtId="0" fontId="0" fillId="0" borderId="15" xfId="0" applyFont="1" applyFill="1" applyBorder="1" applyAlignment="1">
      <alignment vertical="center"/>
    </xf>
    <xf numFmtId="0" fontId="0" fillId="0" borderId="15" xfId="0" applyFont="1" applyFill="1" applyBorder="1" applyAlignment="1">
      <alignment horizontal="center" vertical="center"/>
    </xf>
    <xf numFmtId="3" fontId="0" fillId="0" borderId="15" xfId="0" applyNumberFormat="1" applyFont="1" applyFill="1" applyBorder="1" applyAlignment="1">
      <alignment horizontal="center" vertical="center"/>
    </xf>
    <xf numFmtId="2" fontId="0" fillId="0" borderId="15" xfId="0" applyNumberFormat="1" applyFont="1" applyFill="1" applyBorder="1" applyAlignment="1">
      <alignment horizontal="center" vertical="center"/>
    </xf>
    <xf numFmtId="0" fontId="0" fillId="0" borderId="10" xfId="0" applyFont="1" applyFill="1" applyBorder="1" applyAlignment="1">
      <alignment horizontal="center" vertical="center"/>
    </xf>
    <xf numFmtId="3" fontId="0" fillId="0" borderId="17" xfId="0" applyNumberFormat="1" applyFont="1" applyFill="1" applyBorder="1" applyAlignment="1">
      <alignment horizontal="center" vertical="center"/>
    </xf>
    <xf numFmtId="9" fontId="0" fillId="0" borderId="10" xfId="0" applyNumberFormat="1" applyFont="1" applyFill="1" applyBorder="1" applyAlignment="1">
      <alignment horizontal="center" vertical="center"/>
    </xf>
    <xf numFmtId="2" fontId="0" fillId="0" borderId="10" xfId="0" applyNumberFormat="1" applyFont="1" applyFill="1" applyBorder="1" applyAlignment="1">
      <alignment horizontal="center" vertical="center"/>
    </xf>
    <xf numFmtId="3" fontId="0" fillId="0" borderId="18" xfId="0" applyNumberFormat="1" applyFont="1" applyFill="1" applyBorder="1" applyAlignment="1">
      <alignment horizontal="center" vertical="center"/>
    </xf>
    <xf numFmtId="0" fontId="0" fillId="0" borderId="0" xfId="0"/>
    <xf numFmtId="11" fontId="0" fillId="0" borderId="0" xfId="0" applyNumberFormat="1"/>
    <xf numFmtId="0" fontId="20" fillId="0" borderId="0" xfId="0" applyFont="1" applyAlignment="1">
      <alignment vertical="center"/>
    </xf>
    <xf numFmtId="3" fontId="20" fillId="0" borderId="0" xfId="0" applyNumberFormat="1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4" fontId="20" fillId="0" borderId="0" xfId="0" applyNumberFormat="1" applyFont="1" applyAlignment="1">
      <alignment horizontal="center" vertical="center"/>
    </xf>
    <xf numFmtId="0" fontId="23" fillId="0" borderId="13" xfId="0" applyFont="1" applyBorder="1" applyAlignment="1">
      <alignment horizontal="center" vertical="center" wrapText="1"/>
    </xf>
    <xf numFmtId="0" fontId="0" fillId="0" borderId="0" xfId="0" applyFont="1" applyFill="1" applyBorder="1" applyAlignment="1">
      <alignment vertical="center"/>
    </xf>
    <xf numFmtId="0" fontId="0" fillId="0" borderId="0" xfId="0" applyFont="1" applyFill="1" applyBorder="1" applyAlignment="1">
      <alignment horizontal="center" vertical="center"/>
    </xf>
    <xf numFmtId="3" fontId="0" fillId="0" borderId="0" xfId="0" applyNumberFormat="1" applyFont="1" applyFill="1" applyBorder="1" applyAlignment="1">
      <alignment horizontal="center" vertical="center"/>
    </xf>
    <xf numFmtId="9" fontId="0" fillId="0" borderId="0" xfId="0" applyNumberFormat="1" applyFont="1" applyFill="1" applyBorder="1" applyAlignment="1">
      <alignment horizontal="center" vertical="center"/>
    </xf>
    <xf numFmtId="2" fontId="0" fillId="0" borderId="0" xfId="0" applyNumberFormat="1" applyFont="1" applyFill="1" applyBorder="1" applyAlignment="1">
      <alignment horizontal="center" vertical="center"/>
    </xf>
    <xf numFmtId="166" fontId="0" fillId="0" borderId="0" xfId="0" applyNumberFormat="1" applyFont="1" applyFill="1" applyBorder="1" applyAlignment="1">
      <alignment horizontal="center" vertical="center"/>
    </xf>
    <xf numFmtId="0" fontId="0" fillId="0" borderId="16" xfId="0" applyFont="1" applyFill="1" applyBorder="1" applyAlignment="1">
      <alignment vertical="center"/>
    </xf>
    <xf numFmtId="0" fontId="0" fillId="0" borderId="16" xfId="0" applyFont="1" applyFill="1" applyBorder="1" applyAlignment="1">
      <alignment horizontal="center" vertical="center"/>
    </xf>
    <xf numFmtId="2" fontId="0" fillId="0" borderId="16" xfId="0" applyNumberFormat="1" applyFont="1" applyFill="1" applyBorder="1" applyAlignment="1">
      <alignment horizontal="center" vertical="center"/>
    </xf>
    <xf numFmtId="3" fontId="0" fillId="0" borderId="18" xfId="0" applyNumberFormat="1" applyFont="1" applyFill="1" applyBorder="1" applyAlignment="1">
      <alignment horizontal="center" vertical="center"/>
    </xf>
    <xf numFmtId="0" fontId="24" fillId="0" borderId="0" xfId="0" applyFont="1"/>
    <xf numFmtId="0" fontId="23" fillId="0" borderId="13" xfId="0" applyFont="1" applyBorder="1" applyAlignment="1">
      <alignment vertical="center" wrapText="1"/>
    </xf>
    <xf numFmtId="0" fontId="25" fillId="34" borderId="13" xfId="0" applyFont="1" applyFill="1" applyBorder="1" applyAlignment="1">
      <alignment vertical="center"/>
    </xf>
    <xf numFmtId="3" fontId="25" fillId="34" borderId="13" xfId="0" applyNumberFormat="1" applyFont="1" applyFill="1" applyBorder="1" applyAlignment="1">
      <alignment horizontal="center" vertical="center"/>
    </xf>
    <xf numFmtId="9" fontId="25" fillId="34" borderId="13" xfId="0" applyNumberFormat="1" applyFont="1" applyFill="1" applyBorder="1" applyAlignment="1">
      <alignment horizontal="center" vertical="center"/>
    </xf>
    <xf numFmtId="0" fontId="25" fillId="0" borderId="0" xfId="0" applyFont="1" applyAlignment="1">
      <alignment vertical="center"/>
    </xf>
    <xf numFmtId="3" fontId="25" fillId="0" borderId="0" xfId="0" applyNumberFormat="1" applyFont="1" applyAlignment="1">
      <alignment horizontal="center" vertical="center"/>
    </xf>
    <xf numFmtId="9" fontId="25" fillId="0" borderId="0" xfId="0" applyNumberFormat="1" applyFont="1" applyAlignment="1">
      <alignment horizontal="center" vertical="center"/>
    </xf>
    <xf numFmtId="0" fontId="25" fillId="34" borderId="0" xfId="0" applyFont="1" applyFill="1" applyAlignment="1">
      <alignment vertical="center"/>
    </xf>
    <xf numFmtId="3" fontId="25" fillId="34" borderId="0" xfId="0" applyNumberFormat="1" applyFont="1" applyFill="1" applyAlignment="1">
      <alignment horizontal="center" vertical="center"/>
    </xf>
    <xf numFmtId="9" fontId="25" fillId="34" borderId="0" xfId="0" applyNumberFormat="1" applyFont="1" applyFill="1" applyAlignment="1">
      <alignment horizontal="center" vertical="center"/>
    </xf>
    <xf numFmtId="0" fontId="25" fillId="34" borderId="19" xfId="0" applyFont="1" applyFill="1" applyBorder="1" applyAlignment="1">
      <alignment vertical="center"/>
    </xf>
    <xf numFmtId="3" fontId="25" fillId="34" borderId="19" xfId="0" applyNumberFormat="1" applyFont="1" applyFill="1" applyBorder="1" applyAlignment="1">
      <alignment horizontal="center" vertical="center"/>
    </xf>
    <xf numFmtId="9" fontId="25" fillId="34" borderId="19" xfId="0" applyNumberFormat="1" applyFont="1" applyFill="1" applyBorder="1" applyAlignment="1">
      <alignment horizontal="center" vertical="center"/>
    </xf>
    <xf numFmtId="0" fontId="0" fillId="0" borderId="12" xfId="0" applyFont="1" applyFill="1" applyBorder="1" applyAlignment="1">
      <alignment vertical="center"/>
    </xf>
    <xf numFmtId="3" fontId="0" fillId="0" borderId="10" xfId="0" applyNumberFormat="1" applyFont="1" applyFill="1" applyBorder="1" applyAlignment="1">
      <alignment horizontal="center" vertical="center"/>
    </xf>
    <xf numFmtId="3" fontId="0" fillId="0" borderId="10" xfId="44" applyNumberFormat="1" applyFont="1" applyFill="1" applyBorder="1" applyAlignment="1">
      <alignment horizontal="center" vertical="center"/>
    </xf>
    <xf numFmtId="3" fontId="0" fillId="0" borderId="0" xfId="44" applyNumberFormat="1" applyFont="1" applyFill="1" applyBorder="1" applyAlignment="1">
      <alignment horizontal="center" vertical="center"/>
    </xf>
    <xf numFmtId="3" fontId="0" fillId="0" borderId="12" xfId="0" applyNumberFormat="1" applyFont="1" applyFill="1" applyBorder="1" applyAlignment="1">
      <alignment horizontal="center" vertical="center"/>
    </xf>
    <xf numFmtId="3" fontId="0" fillId="0" borderId="12" xfId="44" applyNumberFormat="1" applyFont="1" applyFill="1" applyBorder="1" applyAlignment="1">
      <alignment horizontal="center" vertical="center"/>
    </xf>
    <xf numFmtId="10" fontId="0" fillId="0" borderId="10" xfId="45" applyNumberFormat="1" applyFont="1" applyFill="1" applyBorder="1" applyAlignment="1">
      <alignment horizontal="center" vertical="center"/>
    </xf>
    <xf numFmtId="10" fontId="0" fillId="0" borderId="0" xfId="45" applyNumberFormat="1" applyFont="1" applyFill="1" applyBorder="1" applyAlignment="1">
      <alignment horizontal="center" vertical="center"/>
    </xf>
    <xf numFmtId="10" fontId="0" fillId="0" borderId="12" xfId="45" applyNumberFormat="1" applyFont="1" applyFill="1" applyBorder="1" applyAlignment="1">
      <alignment horizontal="center" vertical="center"/>
    </xf>
    <xf numFmtId="0" fontId="22" fillId="0" borderId="12" xfId="0" applyFont="1" applyBorder="1" applyAlignment="1">
      <alignment horizontal="center" vertical="center"/>
    </xf>
    <xf numFmtId="0" fontId="21" fillId="0" borderId="11" xfId="0" applyFont="1" applyBorder="1" applyAlignment="1">
      <alignment horizontal="center" vertical="center" wrapText="1"/>
    </xf>
    <xf numFmtId="0" fontId="21" fillId="0" borderId="11" xfId="0" applyFont="1" applyBorder="1" applyAlignment="1">
      <alignment horizontal="center" vertical="center"/>
    </xf>
    <xf numFmtId="0" fontId="18" fillId="33" borderId="11" xfId="0" applyFont="1" applyFill="1" applyBorder="1" applyAlignment="1">
      <alignment horizontal="center" vertical="center" wrapText="1"/>
    </xf>
    <xf numFmtId="0" fontId="18" fillId="0" borderId="11" xfId="0" applyFont="1" applyBorder="1" applyAlignment="1">
      <alignment horizontal="center" vertical="center" wrapText="1"/>
    </xf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4" builtinId="3"/>
    <cellStyle name="Comma 2" xfId="42" xr:uid="{00000000-0005-0000-0000-00002F000000}"/>
    <cellStyle name="Currency 2" xfId="43" xr:uid="{00000000-0005-0000-0000-000030000000}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5" builtinId="5"/>
    <cellStyle name="Title" xfId="1" builtinId="15" customBuiltin="1"/>
    <cellStyle name="Total" xfId="17" builtinId="25" customBuiltin="1"/>
    <cellStyle name="Warning Text" xfId="14" builtinId="11" customBuiltin="1"/>
  </cellStyles>
  <dxfs count="7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9806975897263"/>
          <c:y val="5.8568967247842739E-2"/>
          <c:w val="0.52504825602568439"/>
          <c:h val="0.30635195405208271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907-4286-BFD2-73FC3B31F3A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B2E-46A4-B5DF-53A4EE32B41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B2E-46A4-B5DF-53A4EE32B41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B2E-46A4-B5DF-53A4EE32B41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B2E-46A4-B5DF-53A4EE32B414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AB2E-46A4-B5DF-53A4EE32B414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AB2E-46A4-B5DF-53A4EE32B414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AB2E-46A4-B5DF-53A4EE32B414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AB2E-46A4-B5DF-53A4EE32B414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AB2E-46A4-B5DF-53A4EE32B414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AB2E-46A4-B5DF-53A4EE32B41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'Exposure Snap Shot'!$A$6:$A$16</c:f>
              <c:strCache>
                <c:ptCount val="11"/>
                <c:pt idx="0">
                  <c:v>Consumer Discretionary</c:v>
                </c:pt>
                <c:pt idx="1">
                  <c:v>Energy</c:v>
                </c:pt>
                <c:pt idx="2">
                  <c:v>Financials</c:v>
                </c:pt>
                <c:pt idx="3">
                  <c:v>Health Care</c:v>
                </c:pt>
                <c:pt idx="4">
                  <c:v>Industrials</c:v>
                </c:pt>
                <c:pt idx="5">
                  <c:v>Information Technology</c:v>
                </c:pt>
                <c:pt idx="6">
                  <c:v>Materials</c:v>
                </c:pt>
                <c:pt idx="7">
                  <c:v>Real Estate</c:v>
                </c:pt>
                <c:pt idx="8">
                  <c:v>Telecommunication Services</c:v>
                </c:pt>
                <c:pt idx="9">
                  <c:v>Utilities</c:v>
                </c:pt>
                <c:pt idx="10">
                  <c:v>Consumer Staples</c:v>
                </c:pt>
              </c:strCache>
            </c:strRef>
          </c:cat>
          <c:val>
            <c:numRef>
              <c:f>'Exposure Snap Shot'!$D$6:$D$16</c:f>
              <c:numCache>
                <c:formatCode>0%</c:formatCode>
                <c:ptCount val="11"/>
                <c:pt idx="0">
                  <c:v>6.77652602912725E-2</c:v>
                </c:pt>
                <c:pt idx="1">
                  <c:v>9.3876925100859293E-2</c:v>
                </c:pt>
                <c:pt idx="2">
                  <c:v>0.24777634767623699</c:v>
                </c:pt>
                <c:pt idx="3">
                  <c:v>0.201996390306035</c:v>
                </c:pt>
                <c:pt idx="4">
                  <c:v>8.55377070697073E-2</c:v>
                </c:pt>
                <c:pt idx="5">
                  <c:v>0.23323657381743301</c:v>
                </c:pt>
                <c:pt idx="6">
                  <c:v>2.7934513382813199E-2</c:v>
                </c:pt>
                <c:pt idx="7">
                  <c:v>1.25661558779695E-2</c:v>
                </c:pt>
                <c:pt idx="8">
                  <c:v>1.0347265341616301E-2</c:v>
                </c:pt>
                <c:pt idx="9">
                  <c:v>1.8962861136056601E-2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907-4286-BFD2-73FC3B31F3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3939518003437348"/>
          <c:y val="0.48049758967276146"/>
          <c:w val="0.72120921346110378"/>
          <c:h val="0.5069897601528579"/>
        </c:manualLayout>
      </c:layout>
      <c:overlay val="0"/>
      <c:spPr>
        <a:noFill/>
        <a:ln>
          <a:noFill/>
        </a:ln>
        <a:effectLst>
          <a:innerShdw blurRad="63500" dist="50800" dir="13500000">
            <a:prstClr val="black">
              <a:alpha val="50000"/>
            </a:prstClr>
          </a:innerShdw>
        </a:effectLst>
      </c:spPr>
      <c:txPr>
        <a:bodyPr rot="0" spcFirstLastPara="1" vertOverflow="ellipsis" vert="horz" wrap="square" anchor="ctr" anchorCtr="1"/>
        <a:lstStyle/>
        <a:p>
          <a:pPr rtl="0">
            <a:defRPr sz="1050" b="0" i="0" u="none" strike="noStrike" kern="120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50">
          <a:solidFill>
            <a:schemeClr val="tx1">
              <a:lumMod val="95000"/>
              <a:lumOff val="5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44825</xdr:rowOff>
    </xdr:from>
    <xdr:to>
      <xdr:col>7</xdr:col>
      <xdr:colOff>0</xdr:colOff>
      <xdr:row>30</xdr:row>
      <xdr:rowOff>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283B34-B3BF-4C22-AB09-91B523D6FC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B4F383-2D6F-44C4-97F4-F0559C3B9609}">
  <sheetPr codeName="Sheet1">
    <pageSetUpPr fitToPage="1"/>
  </sheetPr>
  <dimension ref="A1:N142"/>
  <sheetViews>
    <sheetView showGridLines="0" tabSelected="1" view="pageBreakPreview" zoomScaleNormal="100" zoomScaleSheetLayoutView="100" workbookViewId="0">
      <selection activeCell="C2" sqref="C1:C1048576"/>
    </sheetView>
  </sheetViews>
  <sheetFormatPr defaultRowHeight="15" x14ac:dyDescent="0.25"/>
  <cols>
    <col min="1" max="1" width="10.7109375" bestFit="1" customWidth="1"/>
    <col min="2" max="2" width="33.85546875" bestFit="1" customWidth="1"/>
    <col min="3" max="3" width="17.42578125" customWidth="1"/>
    <col min="4" max="4" width="16.5703125" customWidth="1"/>
    <col min="5" max="5" width="10.7109375" customWidth="1"/>
    <col min="6" max="6" width="12" customWidth="1"/>
    <col min="7" max="7" width="10.42578125" customWidth="1"/>
    <col min="8" max="8" width="5.140625" bestFit="1" customWidth="1"/>
    <col min="9" max="9" width="6.5703125" bestFit="1" customWidth="1"/>
    <col min="11" max="11" width="8.85546875" bestFit="1" customWidth="1"/>
    <col min="12" max="12" width="6.5703125" bestFit="1" customWidth="1"/>
    <col min="13" max="13" width="15" customWidth="1"/>
    <col min="14" max="14" width="14.5703125" customWidth="1"/>
  </cols>
  <sheetData>
    <row r="1" spans="1:14" ht="26.25" x14ac:dyDescent="0.25">
      <c r="A1" s="71" t="str">
        <f ca="1">"US Evening FLASH "&amp;TEXT(WORKDAY(TODAY(),-1),"mm-dd-yyyy")&amp;": "&amp;A3</f>
        <v>US Evening FLASH 06-26-2018: LONG</v>
      </c>
      <c r="B1" s="71"/>
      <c r="C1" s="7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</row>
    <row r="2" spans="1:14" ht="45" x14ac:dyDescent="0.25">
      <c r="A2" s="7" t="s">
        <v>0</v>
      </c>
      <c r="B2" s="15" t="s">
        <v>1</v>
      </c>
      <c r="C2" s="8" t="s">
        <v>2</v>
      </c>
      <c r="D2" s="8" t="s">
        <v>3</v>
      </c>
      <c r="E2" s="17" t="s">
        <v>4</v>
      </c>
      <c r="F2" s="8" t="s">
        <v>5</v>
      </c>
      <c r="G2" s="8" t="s">
        <v>6</v>
      </c>
      <c r="H2" s="17" t="s">
        <v>7</v>
      </c>
      <c r="I2" s="8" t="s">
        <v>8</v>
      </c>
      <c r="J2" s="8" t="s">
        <v>9</v>
      </c>
      <c r="K2" s="8" t="s">
        <v>10</v>
      </c>
      <c r="L2" s="17" t="s">
        <v>11</v>
      </c>
      <c r="M2" s="8" t="s">
        <v>12</v>
      </c>
      <c r="N2" s="8" t="s">
        <v>13</v>
      </c>
    </row>
    <row r="3" spans="1:14" ht="18.75" x14ac:dyDescent="0.25">
      <c r="A3" s="72" t="s">
        <v>14</v>
      </c>
      <c r="B3" s="72"/>
      <c r="C3" s="72"/>
      <c r="D3" s="72"/>
      <c r="E3" s="72"/>
      <c r="F3" s="72"/>
      <c r="G3" s="72"/>
      <c r="H3" s="72"/>
      <c r="I3" s="72"/>
      <c r="J3" s="72"/>
      <c r="K3" s="72"/>
      <c r="L3" s="72"/>
      <c r="M3" s="72"/>
      <c r="N3" s="72"/>
    </row>
    <row r="4" spans="1:14" x14ac:dyDescent="0.25">
      <c r="A4" s="21" t="s">
        <v>15</v>
      </c>
      <c r="B4" s="22" t="s">
        <v>119</v>
      </c>
      <c r="C4" s="10" t="s">
        <v>16</v>
      </c>
      <c r="D4" s="10" t="s">
        <v>17</v>
      </c>
      <c r="E4" s="23" t="s">
        <v>18</v>
      </c>
      <c r="F4" s="11">
        <v>1400</v>
      </c>
      <c r="G4" s="12">
        <v>1</v>
      </c>
      <c r="H4" s="24">
        <v>79</v>
      </c>
      <c r="I4" s="13">
        <v>28.95</v>
      </c>
      <c r="J4" s="13">
        <v>26.05</v>
      </c>
      <c r="K4" s="13"/>
      <c r="L4" s="25"/>
      <c r="M4" s="14">
        <v>-350</v>
      </c>
      <c r="N4" s="14">
        <v>40530</v>
      </c>
    </row>
    <row r="5" spans="1:14" s="2" customFormat="1" x14ac:dyDescent="0.25">
      <c r="A5" s="9" t="s">
        <v>78</v>
      </c>
      <c r="B5" s="16" t="s">
        <v>120</v>
      </c>
      <c r="C5" s="10" t="s">
        <v>121</v>
      </c>
      <c r="D5" s="10" t="s">
        <v>17</v>
      </c>
      <c r="E5" s="18" t="s">
        <v>19</v>
      </c>
      <c r="F5" s="11">
        <v>326147</v>
      </c>
      <c r="G5" s="12">
        <v>0.494162121212121</v>
      </c>
      <c r="H5" s="1">
        <v>45</v>
      </c>
      <c r="I5" s="13">
        <v>24.08</v>
      </c>
      <c r="J5" s="13">
        <v>22.616003030302998</v>
      </c>
      <c r="K5" s="13">
        <v>20.399999999999999</v>
      </c>
      <c r="L5" s="19">
        <v>25</v>
      </c>
      <c r="M5" s="14">
        <v>0</v>
      </c>
      <c r="N5" s="14">
        <v>7853619.7599999998</v>
      </c>
    </row>
    <row r="6" spans="1:14" x14ac:dyDescent="0.25">
      <c r="A6" s="38" t="s">
        <v>122</v>
      </c>
      <c r="B6" s="44" t="s">
        <v>123</v>
      </c>
      <c r="C6" s="39" t="s">
        <v>20</v>
      </c>
      <c r="D6" s="39" t="s">
        <v>25</v>
      </c>
      <c r="E6" s="45" t="s">
        <v>31</v>
      </c>
      <c r="F6" s="40">
        <v>112000</v>
      </c>
      <c r="G6" s="41">
        <v>1</v>
      </c>
      <c r="H6" s="1">
        <v>15</v>
      </c>
      <c r="I6" s="42">
        <v>35.28</v>
      </c>
      <c r="J6" s="42">
        <v>35.206919642857102</v>
      </c>
      <c r="K6" s="42">
        <v>31.7</v>
      </c>
      <c r="L6" s="46">
        <v>38.5</v>
      </c>
      <c r="M6" s="43">
        <v>-20160</v>
      </c>
      <c r="N6" s="43">
        <v>3951360</v>
      </c>
    </row>
    <row r="7" spans="1:14" x14ac:dyDescent="0.25">
      <c r="A7" s="38" t="s">
        <v>396</v>
      </c>
      <c r="B7" s="44" t="s">
        <v>397</v>
      </c>
      <c r="C7" s="39" t="s">
        <v>23</v>
      </c>
      <c r="D7" s="39" t="s">
        <v>21</v>
      </c>
      <c r="E7" s="45"/>
      <c r="F7" s="40">
        <v>160000</v>
      </c>
      <c r="G7" s="41">
        <v>1</v>
      </c>
      <c r="H7" s="1">
        <v>1</v>
      </c>
      <c r="I7" s="42">
        <v>20.2</v>
      </c>
      <c r="J7" s="42">
        <v>16.418928125000001</v>
      </c>
      <c r="K7" s="42"/>
      <c r="L7" s="46"/>
      <c r="M7" s="43">
        <v>604971.49459999998</v>
      </c>
      <c r="N7" s="43">
        <v>3232000</v>
      </c>
    </row>
    <row r="8" spans="1:14" x14ac:dyDescent="0.25">
      <c r="A8" s="38" t="s">
        <v>124</v>
      </c>
      <c r="B8" s="44" t="s">
        <v>125</v>
      </c>
      <c r="C8" s="39" t="s">
        <v>20</v>
      </c>
      <c r="D8" s="39" t="s">
        <v>21</v>
      </c>
      <c r="E8" s="45" t="s">
        <v>22</v>
      </c>
      <c r="F8" s="40">
        <v>400000</v>
      </c>
      <c r="G8" s="41">
        <v>0.8</v>
      </c>
      <c r="H8" s="1">
        <v>30</v>
      </c>
      <c r="I8" s="42">
        <v>4.0999999999999996</v>
      </c>
      <c r="J8" s="42">
        <v>4</v>
      </c>
      <c r="K8" s="42">
        <v>3.6</v>
      </c>
      <c r="L8" s="46">
        <v>4.5</v>
      </c>
      <c r="M8" s="43">
        <v>59999.999999999898</v>
      </c>
      <c r="N8" s="43">
        <v>1640000</v>
      </c>
    </row>
    <row r="9" spans="1:14" x14ac:dyDescent="0.25">
      <c r="A9" s="38" t="s">
        <v>126</v>
      </c>
      <c r="B9" s="44" t="s">
        <v>127</v>
      </c>
      <c r="C9" s="39" t="s">
        <v>20</v>
      </c>
      <c r="D9" s="39" t="s">
        <v>17</v>
      </c>
      <c r="E9" s="45" t="s">
        <v>31</v>
      </c>
      <c r="F9" s="40">
        <v>80000</v>
      </c>
      <c r="G9" s="41">
        <v>1</v>
      </c>
      <c r="H9" s="1">
        <v>8</v>
      </c>
      <c r="I9" s="42">
        <v>17.12</v>
      </c>
      <c r="J9" s="42">
        <v>17.5</v>
      </c>
      <c r="K9" s="42">
        <v>15.75</v>
      </c>
      <c r="L9" s="46">
        <v>19.25</v>
      </c>
      <c r="M9" s="43">
        <v>-61600</v>
      </c>
      <c r="N9" s="43">
        <v>1369600</v>
      </c>
    </row>
    <row r="10" spans="1:14" x14ac:dyDescent="0.25">
      <c r="A10" s="38" t="s">
        <v>24</v>
      </c>
      <c r="B10" s="44" t="s">
        <v>128</v>
      </c>
      <c r="C10" s="39" t="s">
        <v>16</v>
      </c>
      <c r="D10" s="39" t="s">
        <v>25</v>
      </c>
      <c r="E10" s="45" t="s">
        <v>19</v>
      </c>
      <c r="F10" s="40">
        <v>240000</v>
      </c>
      <c r="G10" s="41">
        <v>1</v>
      </c>
      <c r="H10" s="1">
        <v>64</v>
      </c>
      <c r="I10" s="42">
        <v>7.2</v>
      </c>
      <c r="J10" s="42">
        <v>7.6775458333333297</v>
      </c>
      <c r="K10" s="42">
        <v>7</v>
      </c>
      <c r="L10" s="46">
        <v>10.050000000000001</v>
      </c>
      <c r="M10" s="43">
        <v>24000</v>
      </c>
      <c r="N10" s="43">
        <v>1728000</v>
      </c>
    </row>
    <row r="11" spans="1:14" x14ac:dyDescent="0.25">
      <c r="A11" s="38" t="s">
        <v>129</v>
      </c>
      <c r="B11" s="44" t="s">
        <v>130</v>
      </c>
      <c r="C11" s="39" t="s">
        <v>23</v>
      </c>
      <c r="D11" s="39" t="s">
        <v>25</v>
      </c>
      <c r="E11" s="45" t="s">
        <v>31</v>
      </c>
      <c r="F11" s="40">
        <v>80000</v>
      </c>
      <c r="G11" s="41">
        <v>0.8</v>
      </c>
      <c r="H11" s="1">
        <v>7</v>
      </c>
      <c r="I11" s="42">
        <v>51.04</v>
      </c>
      <c r="J11" s="42">
        <v>32.081139999999998</v>
      </c>
      <c r="K11" s="42">
        <v>48</v>
      </c>
      <c r="L11" s="46">
        <v>52</v>
      </c>
      <c r="M11" s="43">
        <v>698171.04240000003</v>
      </c>
      <c r="N11" s="43">
        <v>4083200</v>
      </c>
    </row>
    <row r="12" spans="1:14" x14ac:dyDescent="0.25">
      <c r="A12" s="38" t="s">
        <v>398</v>
      </c>
      <c r="B12" s="44" t="s">
        <v>399</v>
      </c>
      <c r="C12" s="39" t="s">
        <v>23</v>
      </c>
      <c r="D12" s="39" t="s">
        <v>21</v>
      </c>
      <c r="E12" s="45"/>
      <c r="F12" s="40">
        <v>105000</v>
      </c>
      <c r="G12" s="41">
        <v>1</v>
      </c>
      <c r="H12" s="1">
        <v>1</v>
      </c>
      <c r="I12" s="42">
        <v>31.2</v>
      </c>
      <c r="J12" s="42">
        <v>26.317719047619001</v>
      </c>
      <c r="K12" s="42"/>
      <c r="L12" s="46"/>
      <c r="M12" s="43">
        <v>512639.4987</v>
      </c>
      <c r="N12" s="43">
        <v>3276000</v>
      </c>
    </row>
    <row r="13" spans="1:14" x14ac:dyDescent="0.25">
      <c r="A13" s="38" t="s">
        <v>131</v>
      </c>
      <c r="B13" s="44" t="s">
        <v>132</v>
      </c>
      <c r="C13" s="39" t="s">
        <v>20</v>
      </c>
      <c r="D13" s="39" t="s">
        <v>21</v>
      </c>
      <c r="E13" s="45" t="s">
        <v>22</v>
      </c>
      <c r="F13" s="40">
        <v>19813</v>
      </c>
      <c r="G13" s="41">
        <v>0.19813</v>
      </c>
      <c r="H13" s="1">
        <v>44</v>
      </c>
      <c r="I13" s="42">
        <v>51.75</v>
      </c>
      <c r="J13" s="42">
        <v>41</v>
      </c>
      <c r="K13" s="42">
        <v>48</v>
      </c>
      <c r="L13" s="46">
        <v>49</v>
      </c>
      <c r="M13" s="43">
        <v>-14859.75</v>
      </c>
      <c r="N13" s="43">
        <v>1025322.75</v>
      </c>
    </row>
    <row r="14" spans="1:14" x14ac:dyDescent="0.25">
      <c r="A14" s="38" t="s">
        <v>27</v>
      </c>
      <c r="B14" s="44" t="s">
        <v>133</v>
      </c>
      <c r="C14" s="39" t="s">
        <v>16</v>
      </c>
      <c r="D14" s="39" t="s">
        <v>17</v>
      </c>
      <c r="E14" s="45" t="s">
        <v>19</v>
      </c>
      <c r="F14" s="40">
        <v>100000</v>
      </c>
      <c r="G14" s="41">
        <v>1</v>
      </c>
      <c r="H14" s="1">
        <v>137</v>
      </c>
      <c r="I14" s="42">
        <v>17.86</v>
      </c>
      <c r="J14" s="42">
        <v>15.2788</v>
      </c>
      <c r="K14" s="42">
        <v>14.4</v>
      </c>
      <c r="L14" s="46">
        <v>17.600000000000001</v>
      </c>
      <c r="M14" s="43">
        <v>-53000</v>
      </c>
      <c r="N14" s="43">
        <v>1786000</v>
      </c>
    </row>
    <row r="15" spans="1:14" x14ac:dyDescent="0.25">
      <c r="A15" s="38" t="s">
        <v>134</v>
      </c>
      <c r="B15" s="44" t="s">
        <v>135</v>
      </c>
      <c r="C15" s="39" t="s">
        <v>20</v>
      </c>
      <c r="D15" s="39" t="s">
        <v>17</v>
      </c>
      <c r="E15" s="45" t="s">
        <v>19</v>
      </c>
      <c r="F15" s="40">
        <v>120000</v>
      </c>
      <c r="G15" s="41">
        <v>0.4</v>
      </c>
      <c r="H15" s="1">
        <v>36</v>
      </c>
      <c r="I15" s="42">
        <v>21.17</v>
      </c>
      <c r="J15" s="42">
        <v>21.424569999999999</v>
      </c>
      <c r="K15" s="42">
        <v>19.3</v>
      </c>
      <c r="L15" s="46">
        <v>23.55</v>
      </c>
      <c r="M15" s="43">
        <v>-18257.4273999998</v>
      </c>
      <c r="N15" s="43">
        <v>2540400</v>
      </c>
    </row>
    <row r="16" spans="1:14" x14ac:dyDescent="0.25">
      <c r="A16" s="38" t="s">
        <v>136</v>
      </c>
      <c r="B16" s="44" t="s">
        <v>137</v>
      </c>
      <c r="C16" s="39" t="s">
        <v>20</v>
      </c>
      <c r="D16" s="39" t="s">
        <v>17</v>
      </c>
      <c r="E16" s="45" t="s">
        <v>31</v>
      </c>
      <c r="F16" s="40">
        <v>30000</v>
      </c>
      <c r="G16" s="41">
        <v>0.24</v>
      </c>
      <c r="H16" s="1">
        <v>29</v>
      </c>
      <c r="I16" s="42">
        <v>202.21</v>
      </c>
      <c r="J16" s="42">
        <v>197.3</v>
      </c>
      <c r="K16" s="42"/>
      <c r="L16" s="46">
        <v>100</v>
      </c>
      <c r="M16" s="43">
        <v>-120600</v>
      </c>
      <c r="N16" s="43">
        <v>6066300</v>
      </c>
    </row>
    <row r="17" spans="1:14" x14ac:dyDescent="0.25">
      <c r="A17" s="38" t="s">
        <v>138</v>
      </c>
      <c r="B17" s="44" t="s">
        <v>139</v>
      </c>
      <c r="C17" s="39" t="s">
        <v>16</v>
      </c>
      <c r="D17" s="39" t="s">
        <v>25</v>
      </c>
      <c r="E17" s="45" t="s">
        <v>31</v>
      </c>
      <c r="F17" s="40">
        <v>75000</v>
      </c>
      <c r="G17" s="41">
        <v>1</v>
      </c>
      <c r="H17" s="1">
        <v>44</v>
      </c>
      <c r="I17" s="42">
        <v>39.58</v>
      </c>
      <c r="J17" s="42">
        <v>35.147480000000002</v>
      </c>
      <c r="K17" s="42">
        <v>19.2</v>
      </c>
      <c r="L17" s="46">
        <v>23</v>
      </c>
      <c r="M17" s="43">
        <v>-26250</v>
      </c>
      <c r="N17" s="43">
        <v>2968500</v>
      </c>
    </row>
    <row r="18" spans="1:14" x14ac:dyDescent="0.25">
      <c r="A18" s="38" t="s">
        <v>28</v>
      </c>
      <c r="B18" s="44" t="s">
        <v>140</v>
      </c>
      <c r="C18" s="39" t="s">
        <v>16</v>
      </c>
      <c r="D18" s="39" t="s">
        <v>17</v>
      </c>
      <c r="E18" s="45" t="s">
        <v>29</v>
      </c>
      <c r="F18" s="40">
        <v>40000</v>
      </c>
      <c r="G18" s="41">
        <v>1</v>
      </c>
      <c r="H18" s="1">
        <v>94</v>
      </c>
      <c r="I18" s="42">
        <v>46.23</v>
      </c>
      <c r="J18" s="42">
        <v>54.228400000000001</v>
      </c>
      <c r="K18" s="42"/>
      <c r="L18" s="46"/>
      <c r="M18" s="43">
        <v>-10800</v>
      </c>
      <c r="N18" s="43">
        <v>1849200</v>
      </c>
    </row>
    <row r="19" spans="1:14" x14ac:dyDescent="0.25">
      <c r="A19" s="38" t="s">
        <v>141</v>
      </c>
      <c r="B19" s="44" t="s">
        <v>142</v>
      </c>
      <c r="C19" s="39" t="s">
        <v>20</v>
      </c>
      <c r="D19" s="39" t="s">
        <v>17</v>
      </c>
      <c r="E19" s="45" t="s">
        <v>18</v>
      </c>
      <c r="F19" s="40">
        <v>200000</v>
      </c>
      <c r="G19" s="41">
        <v>1</v>
      </c>
      <c r="H19" s="1">
        <v>7</v>
      </c>
      <c r="I19" s="42">
        <v>45.01</v>
      </c>
      <c r="J19" s="42">
        <v>44.622489999999999</v>
      </c>
      <c r="K19" s="42">
        <v>40.200000000000003</v>
      </c>
      <c r="L19" s="46">
        <v>49.1</v>
      </c>
      <c r="M19" s="43">
        <v>-120000</v>
      </c>
      <c r="N19" s="43">
        <v>9002000</v>
      </c>
    </row>
    <row r="20" spans="1:14" x14ac:dyDescent="0.25">
      <c r="A20" s="38" t="s">
        <v>30</v>
      </c>
      <c r="B20" s="44" t="s">
        <v>143</v>
      </c>
      <c r="C20" s="39" t="s">
        <v>16</v>
      </c>
      <c r="D20" s="39" t="s">
        <v>25</v>
      </c>
      <c r="E20" s="45" t="s">
        <v>31</v>
      </c>
      <c r="F20" s="40">
        <v>77500</v>
      </c>
      <c r="G20" s="41">
        <v>0.46969696969697</v>
      </c>
      <c r="H20" s="1">
        <v>155</v>
      </c>
      <c r="I20" s="42">
        <v>27.61</v>
      </c>
      <c r="J20" s="42">
        <v>23.197727272727299</v>
      </c>
      <c r="K20" s="42">
        <v>20.100000000000001</v>
      </c>
      <c r="L20" s="46">
        <v>24</v>
      </c>
      <c r="M20" s="43">
        <v>-108500</v>
      </c>
      <c r="N20" s="43">
        <v>2139775</v>
      </c>
    </row>
    <row r="21" spans="1:14" x14ac:dyDescent="0.25">
      <c r="A21" s="38" t="s">
        <v>32</v>
      </c>
      <c r="B21" s="44" t="s">
        <v>144</v>
      </c>
      <c r="C21" s="39" t="s">
        <v>16</v>
      </c>
      <c r="D21" s="39" t="s">
        <v>25</v>
      </c>
      <c r="E21" s="45" t="s">
        <v>31</v>
      </c>
      <c r="F21" s="40">
        <v>120000</v>
      </c>
      <c r="G21" s="41">
        <v>1</v>
      </c>
      <c r="H21" s="1">
        <v>35</v>
      </c>
      <c r="I21" s="42">
        <v>17.71</v>
      </c>
      <c r="J21" s="42">
        <v>20.001141666666701</v>
      </c>
      <c r="K21" s="42">
        <v>20</v>
      </c>
      <c r="L21" s="46">
        <v>24</v>
      </c>
      <c r="M21" s="43">
        <v>-31200</v>
      </c>
      <c r="N21" s="43">
        <v>2125200</v>
      </c>
    </row>
    <row r="22" spans="1:14" x14ac:dyDescent="0.25">
      <c r="A22" s="38" t="s">
        <v>145</v>
      </c>
      <c r="B22" s="44" t="s">
        <v>146</v>
      </c>
      <c r="C22" s="39" t="s">
        <v>20</v>
      </c>
      <c r="D22" s="39" t="s">
        <v>21</v>
      </c>
      <c r="E22" s="45" t="s">
        <v>22</v>
      </c>
      <c r="F22" s="40">
        <v>650000</v>
      </c>
      <c r="G22" s="41">
        <v>1</v>
      </c>
      <c r="H22" s="1">
        <v>2</v>
      </c>
      <c r="I22" s="42">
        <v>0.87</v>
      </c>
      <c r="J22" s="42">
        <v>1</v>
      </c>
      <c r="K22" s="42">
        <v>0.9</v>
      </c>
      <c r="L22" s="46">
        <v>1.1000000000000001</v>
      </c>
      <c r="M22" s="43">
        <v>0</v>
      </c>
      <c r="N22" s="43">
        <v>565500</v>
      </c>
    </row>
    <row r="23" spans="1:14" x14ac:dyDescent="0.25">
      <c r="A23" s="38" t="s">
        <v>400</v>
      </c>
      <c r="B23" s="44" t="s">
        <v>401</v>
      </c>
      <c r="C23" s="39" t="s">
        <v>20</v>
      </c>
      <c r="D23" s="39" t="s">
        <v>21</v>
      </c>
      <c r="E23" s="45" t="s">
        <v>22</v>
      </c>
      <c r="F23" s="40">
        <v>369099</v>
      </c>
      <c r="G23" s="41">
        <v>0.76759536737991596</v>
      </c>
      <c r="H23" s="1">
        <v>30</v>
      </c>
      <c r="I23" s="42">
        <v>5.2</v>
      </c>
      <c r="J23" s="42">
        <v>4.7000006238938896</v>
      </c>
      <c r="K23" s="42">
        <v>5.5</v>
      </c>
      <c r="L23" s="46">
        <v>7</v>
      </c>
      <c r="M23" s="43">
        <v>-73819.800000000105</v>
      </c>
      <c r="N23" s="43">
        <v>1919314.8</v>
      </c>
    </row>
    <row r="24" spans="1:14" x14ac:dyDescent="0.25">
      <c r="A24" s="38" t="s">
        <v>147</v>
      </c>
      <c r="B24" s="44" t="s">
        <v>148</v>
      </c>
      <c r="C24" s="39" t="s">
        <v>20</v>
      </c>
      <c r="D24" s="39" t="s">
        <v>25</v>
      </c>
      <c r="E24" s="45" t="s">
        <v>18</v>
      </c>
      <c r="F24" s="40">
        <v>50000</v>
      </c>
      <c r="G24" s="41">
        <v>1</v>
      </c>
      <c r="H24" s="1">
        <v>22</v>
      </c>
      <c r="I24" s="42">
        <v>18.5</v>
      </c>
      <c r="J24" s="42">
        <v>18.09986</v>
      </c>
      <c r="K24" s="42">
        <v>16.3</v>
      </c>
      <c r="L24" s="46">
        <v>19.899999999999999</v>
      </c>
      <c r="M24" s="43">
        <v>-7499.99999999997</v>
      </c>
      <c r="N24" s="43">
        <v>925000</v>
      </c>
    </row>
    <row r="25" spans="1:14" x14ac:dyDescent="0.25">
      <c r="A25" s="38" t="s">
        <v>149</v>
      </c>
      <c r="B25" s="44" t="s">
        <v>150</v>
      </c>
      <c r="C25" s="39" t="s">
        <v>23</v>
      </c>
      <c r="D25" s="39" t="s">
        <v>17</v>
      </c>
      <c r="E25" s="45" t="s">
        <v>19</v>
      </c>
      <c r="F25" s="40">
        <v>400000</v>
      </c>
      <c r="G25" s="41">
        <v>1</v>
      </c>
      <c r="H25" s="1">
        <v>8</v>
      </c>
      <c r="I25" s="42">
        <v>11.27</v>
      </c>
      <c r="J25" s="42">
        <v>11.8830375</v>
      </c>
      <c r="K25" s="42">
        <v>10.7</v>
      </c>
      <c r="L25" s="46">
        <v>13.1</v>
      </c>
      <c r="M25" s="43">
        <v>128000</v>
      </c>
      <c r="N25" s="43">
        <v>4508000</v>
      </c>
    </row>
    <row r="26" spans="1:14" x14ac:dyDescent="0.25">
      <c r="A26" s="38" t="s">
        <v>151</v>
      </c>
      <c r="B26" s="44" t="s">
        <v>152</v>
      </c>
      <c r="C26" s="39" t="s">
        <v>20</v>
      </c>
      <c r="D26" s="39" t="s">
        <v>21</v>
      </c>
      <c r="E26" s="45" t="s">
        <v>22</v>
      </c>
      <c r="F26" s="40">
        <v>125000</v>
      </c>
      <c r="G26" s="41">
        <v>0.83333333333333304</v>
      </c>
      <c r="H26" s="1">
        <v>30</v>
      </c>
      <c r="I26" s="42">
        <v>16.3</v>
      </c>
      <c r="J26" s="42">
        <v>14.5</v>
      </c>
      <c r="K26" s="42">
        <v>9.75</v>
      </c>
      <c r="L26" s="46">
        <v>12.5</v>
      </c>
      <c r="M26" s="43">
        <v>-143750</v>
      </c>
      <c r="N26" s="43">
        <v>2037500</v>
      </c>
    </row>
    <row r="27" spans="1:14" x14ac:dyDescent="0.25">
      <c r="A27" s="38" t="s">
        <v>153</v>
      </c>
      <c r="B27" s="44" t="s">
        <v>154</v>
      </c>
      <c r="C27" s="39" t="s">
        <v>20</v>
      </c>
      <c r="D27" s="39" t="s">
        <v>17</v>
      </c>
      <c r="E27" s="45" t="s">
        <v>19</v>
      </c>
      <c r="F27" s="40">
        <v>50000</v>
      </c>
      <c r="G27" s="41">
        <v>0.66666666666666696</v>
      </c>
      <c r="H27" s="1">
        <v>9</v>
      </c>
      <c r="I27" s="42">
        <v>39.29</v>
      </c>
      <c r="J27" s="42">
        <v>44.183333333333302</v>
      </c>
      <c r="K27" s="42">
        <v>38.4</v>
      </c>
      <c r="L27" s="46">
        <v>46.9</v>
      </c>
      <c r="M27" s="43">
        <v>-186688.3248</v>
      </c>
      <c r="N27" s="43">
        <v>1964500</v>
      </c>
    </row>
    <row r="28" spans="1:14" x14ac:dyDescent="0.25">
      <c r="A28" s="38" t="s">
        <v>155</v>
      </c>
      <c r="B28" s="44" t="s">
        <v>156</v>
      </c>
      <c r="C28" s="39" t="s">
        <v>121</v>
      </c>
      <c r="D28" s="39" t="s">
        <v>25</v>
      </c>
      <c r="E28" s="45" t="s">
        <v>31</v>
      </c>
      <c r="F28" s="40">
        <v>544900</v>
      </c>
      <c r="G28" s="41">
        <v>1.1596084273249601</v>
      </c>
      <c r="H28" s="1">
        <v>7</v>
      </c>
      <c r="I28" s="42">
        <v>15.04</v>
      </c>
      <c r="J28" s="42">
        <v>14.991779101936601</v>
      </c>
      <c r="K28" s="42">
        <v>13.5</v>
      </c>
      <c r="L28" s="46">
        <v>16.5</v>
      </c>
      <c r="M28" s="43">
        <v>-59939.000000000196</v>
      </c>
      <c r="N28" s="43">
        <v>8195296</v>
      </c>
    </row>
    <row r="29" spans="1:14" x14ac:dyDescent="0.25">
      <c r="A29" s="38" t="s">
        <v>34</v>
      </c>
      <c r="B29" s="44" t="s">
        <v>157</v>
      </c>
      <c r="C29" s="39" t="s">
        <v>16</v>
      </c>
      <c r="D29" s="39" t="s">
        <v>17</v>
      </c>
      <c r="E29" s="45" t="s">
        <v>18</v>
      </c>
      <c r="F29" s="40">
        <v>85000</v>
      </c>
      <c r="G29" s="41">
        <v>1</v>
      </c>
      <c r="H29" s="1">
        <v>135</v>
      </c>
      <c r="I29" s="42">
        <v>19.75</v>
      </c>
      <c r="J29" s="42">
        <v>19.199235294117599</v>
      </c>
      <c r="K29" s="42"/>
      <c r="L29" s="46"/>
      <c r="M29" s="43">
        <v>-22100</v>
      </c>
      <c r="N29" s="43">
        <v>1678750</v>
      </c>
    </row>
    <row r="30" spans="1:14" x14ac:dyDescent="0.25">
      <c r="A30" s="38" t="s">
        <v>158</v>
      </c>
      <c r="B30" s="44" t="s">
        <v>159</v>
      </c>
      <c r="C30" s="39" t="s">
        <v>20</v>
      </c>
      <c r="D30" s="39" t="s">
        <v>17</v>
      </c>
      <c r="E30" s="45" t="s">
        <v>22</v>
      </c>
      <c r="F30" s="40">
        <v>140000</v>
      </c>
      <c r="G30" s="41">
        <v>0.93333333333333302</v>
      </c>
      <c r="H30" s="1">
        <v>35</v>
      </c>
      <c r="I30" s="42">
        <v>20.62</v>
      </c>
      <c r="J30" s="42">
        <v>15</v>
      </c>
      <c r="K30" s="42">
        <v>8</v>
      </c>
      <c r="L30" s="46">
        <v>12</v>
      </c>
      <c r="M30" s="43">
        <v>-117600</v>
      </c>
      <c r="N30" s="43">
        <v>2886800</v>
      </c>
    </row>
    <row r="31" spans="1:14" x14ac:dyDescent="0.25">
      <c r="A31" s="38" t="s">
        <v>160</v>
      </c>
      <c r="B31" s="44" t="s">
        <v>161</v>
      </c>
      <c r="C31" s="39" t="s">
        <v>20</v>
      </c>
      <c r="D31" s="39" t="s">
        <v>17</v>
      </c>
      <c r="E31" s="45" t="s">
        <v>50</v>
      </c>
      <c r="F31" s="40">
        <v>600</v>
      </c>
      <c r="G31" s="41">
        <v>8.5714285714285699E-4</v>
      </c>
      <c r="H31" s="1">
        <v>39</v>
      </c>
      <c r="I31" s="42">
        <v>22.25</v>
      </c>
      <c r="J31" s="42">
        <v>21.55</v>
      </c>
      <c r="K31" s="42">
        <v>20.5</v>
      </c>
      <c r="L31" s="46">
        <v>23.5</v>
      </c>
      <c r="M31" s="43">
        <v>77.999999999999702</v>
      </c>
      <c r="N31" s="43">
        <v>13350</v>
      </c>
    </row>
    <row r="32" spans="1:14" x14ac:dyDescent="0.25">
      <c r="A32" s="38" t="s">
        <v>35</v>
      </c>
      <c r="B32" s="44" t="s">
        <v>162</v>
      </c>
      <c r="C32" s="39" t="s">
        <v>16</v>
      </c>
      <c r="D32" s="39" t="s">
        <v>25</v>
      </c>
      <c r="E32" s="45" t="s">
        <v>33</v>
      </c>
      <c r="F32" s="40">
        <v>22600</v>
      </c>
      <c r="G32" s="41">
        <v>0.37666666666666698</v>
      </c>
      <c r="H32" s="1">
        <v>105</v>
      </c>
      <c r="I32" s="42">
        <v>35.9</v>
      </c>
      <c r="J32" s="42">
        <v>33.955950000000001</v>
      </c>
      <c r="K32" s="42"/>
      <c r="L32" s="46"/>
      <c r="M32" s="43">
        <v>-7910</v>
      </c>
      <c r="N32" s="43">
        <v>811340</v>
      </c>
    </row>
    <row r="33" spans="1:14" x14ac:dyDescent="0.25">
      <c r="A33" s="38" t="s">
        <v>402</v>
      </c>
      <c r="B33" s="44" t="s">
        <v>403</v>
      </c>
      <c r="C33" s="39" t="s">
        <v>20</v>
      </c>
      <c r="D33" s="39" t="s">
        <v>17</v>
      </c>
      <c r="E33" s="45" t="s">
        <v>47</v>
      </c>
      <c r="F33" s="40">
        <v>124400</v>
      </c>
      <c r="G33" s="41">
        <v>1</v>
      </c>
      <c r="H33" s="1">
        <v>1</v>
      </c>
      <c r="I33" s="42">
        <v>27.89</v>
      </c>
      <c r="J33" s="42">
        <v>28.3</v>
      </c>
      <c r="K33" s="42">
        <v>20.55</v>
      </c>
      <c r="L33" s="46">
        <v>25.1</v>
      </c>
      <c r="M33" s="43">
        <v>1419401.3</v>
      </c>
      <c r="N33" s="43">
        <v>3469516</v>
      </c>
    </row>
    <row r="34" spans="1:14" x14ac:dyDescent="0.25">
      <c r="A34" s="38" t="s">
        <v>37</v>
      </c>
      <c r="B34" s="44" t="s">
        <v>163</v>
      </c>
      <c r="C34" s="39" t="s">
        <v>16</v>
      </c>
      <c r="D34" s="39" t="s">
        <v>25</v>
      </c>
      <c r="E34" s="45" t="s">
        <v>31</v>
      </c>
      <c r="F34" s="40">
        <v>25000</v>
      </c>
      <c r="G34" s="41">
        <v>1</v>
      </c>
      <c r="H34" s="1">
        <v>73</v>
      </c>
      <c r="I34" s="42">
        <v>43.16</v>
      </c>
      <c r="J34" s="42">
        <v>42.696759999999998</v>
      </c>
      <c r="K34" s="42"/>
      <c r="L34" s="46"/>
      <c r="M34" s="43">
        <v>-14500</v>
      </c>
      <c r="N34" s="43">
        <v>1079000</v>
      </c>
    </row>
    <row r="35" spans="1:14" x14ac:dyDescent="0.25">
      <c r="A35" s="38" t="s">
        <v>164</v>
      </c>
      <c r="B35" s="44" t="s">
        <v>165</v>
      </c>
      <c r="C35" s="39" t="s">
        <v>16</v>
      </c>
      <c r="D35" s="39" t="s">
        <v>25</v>
      </c>
      <c r="E35" s="45" t="s">
        <v>31</v>
      </c>
      <c r="F35" s="40">
        <v>20000</v>
      </c>
      <c r="G35" s="41">
        <v>0.66666666666666696</v>
      </c>
      <c r="H35" s="1">
        <v>35</v>
      </c>
      <c r="I35" s="42">
        <v>51.63</v>
      </c>
      <c r="J35" s="42">
        <v>49.3280666666667</v>
      </c>
      <c r="K35" s="42"/>
      <c r="L35" s="46"/>
      <c r="M35" s="43">
        <v>-25400</v>
      </c>
      <c r="N35" s="43">
        <v>1032600</v>
      </c>
    </row>
    <row r="36" spans="1:14" x14ac:dyDescent="0.25">
      <c r="A36" s="38" t="s">
        <v>166</v>
      </c>
      <c r="B36" s="44" t="s">
        <v>167</v>
      </c>
      <c r="C36" s="39" t="s">
        <v>20</v>
      </c>
      <c r="D36" s="39" t="s">
        <v>17</v>
      </c>
      <c r="E36" s="45" t="s">
        <v>18</v>
      </c>
      <c r="F36" s="40">
        <v>40000</v>
      </c>
      <c r="G36" s="41">
        <v>0.266666666666667</v>
      </c>
      <c r="H36" s="1">
        <v>36</v>
      </c>
      <c r="I36" s="42">
        <v>23.2</v>
      </c>
      <c r="J36" s="42">
        <v>23.490853333333298</v>
      </c>
      <c r="K36" s="42">
        <v>12.9</v>
      </c>
      <c r="L36" s="46">
        <v>15.8</v>
      </c>
      <c r="M36" s="43">
        <v>40254.410600000003</v>
      </c>
      <c r="N36" s="43">
        <v>928000</v>
      </c>
    </row>
    <row r="37" spans="1:14" x14ac:dyDescent="0.25">
      <c r="A37" s="38" t="s">
        <v>38</v>
      </c>
      <c r="B37" s="44" t="s">
        <v>168</v>
      </c>
      <c r="C37" s="39" t="s">
        <v>16</v>
      </c>
      <c r="D37" s="39" t="s">
        <v>25</v>
      </c>
      <c r="E37" s="45" t="s">
        <v>31</v>
      </c>
      <c r="F37" s="40">
        <v>25000</v>
      </c>
      <c r="G37" s="41">
        <v>1</v>
      </c>
      <c r="H37" s="1">
        <v>51</v>
      </c>
      <c r="I37" s="42">
        <v>70.650000000000006</v>
      </c>
      <c r="J37" s="42">
        <v>68.599040000000002</v>
      </c>
      <c r="K37" s="42"/>
      <c r="L37" s="46"/>
      <c r="M37" s="43">
        <v>-6250</v>
      </c>
      <c r="N37" s="43">
        <v>1766250</v>
      </c>
    </row>
    <row r="38" spans="1:14" x14ac:dyDescent="0.25">
      <c r="A38" s="38" t="s">
        <v>169</v>
      </c>
      <c r="B38" s="44" t="s">
        <v>170</v>
      </c>
      <c r="C38" s="39" t="s">
        <v>16</v>
      </c>
      <c r="D38" s="39" t="s">
        <v>17</v>
      </c>
      <c r="E38" s="45" t="s">
        <v>31</v>
      </c>
      <c r="F38" s="40">
        <v>57500</v>
      </c>
      <c r="G38" s="41">
        <v>1</v>
      </c>
      <c r="H38" s="1">
        <v>24</v>
      </c>
      <c r="I38" s="42">
        <v>9.35</v>
      </c>
      <c r="J38" s="42">
        <v>9.0757217391304295</v>
      </c>
      <c r="K38" s="42"/>
      <c r="L38" s="46"/>
      <c r="M38" s="43">
        <v>10350</v>
      </c>
      <c r="N38" s="43">
        <v>537625</v>
      </c>
    </row>
    <row r="39" spans="1:14" x14ac:dyDescent="0.25">
      <c r="A39" s="38" t="s">
        <v>171</v>
      </c>
      <c r="B39" s="44" t="s">
        <v>172</v>
      </c>
      <c r="C39" s="39" t="s">
        <v>20</v>
      </c>
      <c r="D39" s="39" t="s">
        <v>21</v>
      </c>
      <c r="E39" s="45" t="s">
        <v>22</v>
      </c>
      <c r="F39" s="40">
        <v>144322</v>
      </c>
      <c r="G39" s="41">
        <v>0.59884647302904603</v>
      </c>
      <c r="H39" s="1">
        <v>15</v>
      </c>
      <c r="I39" s="42">
        <v>44.95</v>
      </c>
      <c r="J39" s="42">
        <v>40.5447302904564</v>
      </c>
      <c r="K39" s="42">
        <v>35.799999999999997</v>
      </c>
      <c r="L39" s="46">
        <v>43.8</v>
      </c>
      <c r="M39" s="43">
        <v>86651.921400000298</v>
      </c>
      <c r="N39" s="43">
        <v>6487273.9000000004</v>
      </c>
    </row>
    <row r="40" spans="1:14" x14ac:dyDescent="0.25">
      <c r="A40" s="38" t="s">
        <v>173</v>
      </c>
      <c r="B40" s="44" t="s">
        <v>174</v>
      </c>
      <c r="C40" s="39" t="s">
        <v>20</v>
      </c>
      <c r="D40" s="39" t="s">
        <v>25</v>
      </c>
      <c r="E40" s="45" t="s">
        <v>50</v>
      </c>
      <c r="F40" s="40">
        <v>250000</v>
      </c>
      <c r="G40" s="41">
        <v>1</v>
      </c>
      <c r="H40" s="1">
        <v>3</v>
      </c>
      <c r="I40" s="42">
        <v>19.45</v>
      </c>
      <c r="J40" s="42">
        <v>19.4663</v>
      </c>
      <c r="K40" s="42">
        <v>17</v>
      </c>
      <c r="L40" s="46">
        <v>22</v>
      </c>
      <c r="M40" s="43">
        <v>-49999.999999999898</v>
      </c>
      <c r="N40" s="43">
        <v>4862500</v>
      </c>
    </row>
    <row r="41" spans="1:14" x14ac:dyDescent="0.25">
      <c r="A41" s="38" t="s">
        <v>39</v>
      </c>
      <c r="B41" s="44" t="s">
        <v>175</v>
      </c>
      <c r="C41" s="39" t="s">
        <v>16</v>
      </c>
      <c r="D41" s="39" t="s">
        <v>21</v>
      </c>
      <c r="E41" s="45" t="s">
        <v>22</v>
      </c>
      <c r="F41" s="40">
        <v>8004</v>
      </c>
      <c r="G41" s="41">
        <v>1</v>
      </c>
      <c r="H41" s="1">
        <v>214</v>
      </c>
      <c r="I41" s="42">
        <v>13.08</v>
      </c>
      <c r="J41" s="42">
        <v>9.7185157421289396</v>
      </c>
      <c r="K41" s="42">
        <v>6.3</v>
      </c>
      <c r="L41" s="46">
        <v>7.7</v>
      </c>
      <c r="M41" s="43">
        <v>3841.92</v>
      </c>
      <c r="N41" s="43">
        <v>104692.32</v>
      </c>
    </row>
    <row r="42" spans="1:14" x14ac:dyDescent="0.25">
      <c r="A42" s="38" t="s">
        <v>176</v>
      </c>
      <c r="B42" s="44" t="s">
        <v>177</v>
      </c>
      <c r="C42" s="39" t="s">
        <v>23</v>
      </c>
      <c r="D42" s="39" t="s">
        <v>21</v>
      </c>
      <c r="E42" s="45" t="s">
        <v>22</v>
      </c>
      <c r="F42" s="40">
        <v>125000</v>
      </c>
      <c r="G42" s="41">
        <v>1</v>
      </c>
      <c r="H42" s="1">
        <v>2</v>
      </c>
      <c r="I42" s="42">
        <v>21.94</v>
      </c>
      <c r="J42" s="42">
        <v>19.395464</v>
      </c>
      <c r="K42" s="42">
        <v>20.81</v>
      </c>
      <c r="L42" s="46">
        <v>25.45</v>
      </c>
      <c r="M42" s="43">
        <v>-147500</v>
      </c>
      <c r="N42" s="43">
        <v>2742500</v>
      </c>
    </row>
    <row r="43" spans="1:14" x14ac:dyDescent="0.25">
      <c r="A43" s="38" t="s">
        <v>40</v>
      </c>
      <c r="B43" s="44" t="s">
        <v>178</v>
      </c>
      <c r="C43" s="39" t="s">
        <v>16</v>
      </c>
      <c r="D43" s="39" t="s">
        <v>25</v>
      </c>
      <c r="E43" s="45" t="s">
        <v>31</v>
      </c>
      <c r="F43" s="40">
        <v>45000</v>
      </c>
      <c r="G43" s="41">
        <v>0.75</v>
      </c>
      <c r="H43" s="1">
        <v>189</v>
      </c>
      <c r="I43" s="42">
        <v>49.84</v>
      </c>
      <c r="J43" s="42">
        <v>36.956316666666702</v>
      </c>
      <c r="K43" s="42">
        <v>33</v>
      </c>
      <c r="L43" s="46">
        <v>40.299999999999997</v>
      </c>
      <c r="M43" s="43">
        <v>1800</v>
      </c>
      <c r="N43" s="43">
        <v>2242800</v>
      </c>
    </row>
    <row r="44" spans="1:14" x14ac:dyDescent="0.25">
      <c r="A44" s="38" t="s">
        <v>404</v>
      </c>
      <c r="B44" s="44" t="s">
        <v>405</v>
      </c>
      <c r="C44" s="39" t="s">
        <v>23</v>
      </c>
      <c r="D44" s="39" t="s">
        <v>25</v>
      </c>
      <c r="E44" s="45"/>
      <c r="F44" s="40">
        <v>502500</v>
      </c>
      <c r="G44" s="41">
        <v>1</v>
      </c>
      <c r="H44" s="1">
        <v>1</v>
      </c>
      <c r="I44" s="42">
        <v>13.64</v>
      </c>
      <c r="J44" s="42">
        <v>13.8584278606965</v>
      </c>
      <c r="K44" s="42"/>
      <c r="L44" s="46"/>
      <c r="M44" s="43">
        <v>-109759.9942</v>
      </c>
      <c r="N44" s="43">
        <v>6854100</v>
      </c>
    </row>
    <row r="45" spans="1:14" x14ac:dyDescent="0.25">
      <c r="A45" s="38" t="s">
        <v>41</v>
      </c>
      <c r="B45" s="44" t="s">
        <v>179</v>
      </c>
      <c r="C45" s="39" t="s">
        <v>16</v>
      </c>
      <c r="D45" s="39" t="s">
        <v>17</v>
      </c>
      <c r="E45" s="45" t="s">
        <v>18</v>
      </c>
      <c r="F45" s="40">
        <v>18767</v>
      </c>
      <c r="G45" s="41">
        <v>1</v>
      </c>
      <c r="H45" s="1">
        <v>91</v>
      </c>
      <c r="I45" s="42">
        <v>43.13</v>
      </c>
      <c r="J45" s="42">
        <v>38.035754249480497</v>
      </c>
      <c r="K45" s="42"/>
      <c r="L45" s="46"/>
      <c r="M45" s="43">
        <v>-12949.23</v>
      </c>
      <c r="N45" s="43">
        <v>809420.71</v>
      </c>
    </row>
    <row r="46" spans="1:14" x14ac:dyDescent="0.25">
      <c r="A46" s="38" t="s">
        <v>180</v>
      </c>
      <c r="B46" s="44" t="s">
        <v>181</v>
      </c>
      <c r="C46" s="39" t="s">
        <v>23</v>
      </c>
      <c r="D46" s="39" t="s">
        <v>17</v>
      </c>
      <c r="E46" s="45" t="s">
        <v>18</v>
      </c>
      <c r="F46" s="40">
        <v>1883619</v>
      </c>
      <c r="G46" s="41">
        <v>0.94010837389743296</v>
      </c>
      <c r="H46" s="1">
        <v>43</v>
      </c>
      <c r="I46" s="42">
        <v>21.2099993558333</v>
      </c>
      <c r="J46" s="42">
        <v>19.978134066406799</v>
      </c>
      <c r="K46" s="42">
        <v>18</v>
      </c>
      <c r="L46" s="46">
        <v>22</v>
      </c>
      <c r="M46" s="43">
        <v>151339.56000000099</v>
      </c>
      <c r="N46" s="43">
        <v>39951557.776635401</v>
      </c>
    </row>
    <row r="47" spans="1:14" x14ac:dyDescent="0.25">
      <c r="A47" s="38" t="s">
        <v>42</v>
      </c>
      <c r="B47" s="44" t="s">
        <v>182</v>
      </c>
      <c r="C47" s="39" t="s">
        <v>16</v>
      </c>
      <c r="D47" s="39" t="s">
        <v>17</v>
      </c>
      <c r="E47" s="45" t="s">
        <v>18</v>
      </c>
      <c r="F47" s="40">
        <v>75600</v>
      </c>
      <c r="G47" s="41">
        <v>1</v>
      </c>
      <c r="H47" s="1">
        <v>323</v>
      </c>
      <c r="I47" s="42">
        <v>26.21</v>
      </c>
      <c r="J47" s="42">
        <v>16.740052910052899</v>
      </c>
      <c r="K47" s="42">
        <v>13.4</v>
      </c>
      <c r="L47" s="46">
        <v>19</v>
      </c>
      <c r="M47" s="43">
        <v>-40824</v>
      </c>
      <c r="N47" s="43">
        <v>1981476</v>
      </c>
    </row>
    <row r="48" spans="1:14" x14ac:dyDescent="0.25">
      <c r="A48" s="38" t="s">
        <v>183</v>
      </c>
      <c r="B48" s="44" t="s">
        <v>184</v>
      </c>
      <c r="C48" s="39" t="s">
        <v>20</v>
      </c>
      <c r="D48" s="39" t="s">
        <v>17</v>
      </c>
      <c r="E48" s="45" t="s">
        <v>26</v>
      </c>
      <c r="F48" s="40">
        <v>110000</v>
      </c>
      <c r="G48" s="41">
        <v>1</v>
      </c>
      <c r="H48" s="1">
        <v>15</v>
      </c>
      <c r="I48" s="42">
        <v>79.84</v>
      </c>
      <c r="J48" s="42">
        <v>75.762200000000007</v>
      </c>
      <c r="K48" s="42">
        <v>68.2</v>
      </c>
      <c r="L48" s="46">
        <v>83.35</v>
      </c>
      <c r="M48" s="43">
        <v>-45099.999999999804</v>
      </c>
      <c r="N48" s="43">
        <v>8782400</v>
      </c>
    </row>
    <row r="49" spans="1:14" x14ac:dyDescent="0.25">
      <c r="A49" s="38" t="s">
        <v>185</v>
      </c>
      <c r="B49" s="44" t="s">
        <v>186</v>
      </c>
      <c r="C49" s="39" t="s">
        <v>23</v>
      </c>
      <c r="D49" s="39" t="s">
        <v>25</v>
      </c>
      <c r="E49" s="45" t="s">
        <v>31</v>
      </c>
      <c r="F49" s="40">
        <v>65000</v>
      </c>
      <c r="G49" s="41">
        <v>0.32500000000000001</v>
      </c>
      <c r="H49" s="1">
        <v>30</v>
      </c>
      <c r="I49" s="42">
        <v>21.259999968750002</v>
      </c>
      <c r="J49" s="42">
        <v>18.990414999999999</v>
      </c>
      <c r="K49" s="42">
        <v>17.100000000000001</v>
      </c>
      <c r="L49" s="46">
        <v>20.9</v>
      </c>
      <c r="M49" s="43">
        <v>-122394.9751</v>
      </c>
      <c r="N49" s="43">
        <v>1381899.9979687501</v>
      </c>
    </row>
    <row r="50" spans="1:14" x14ac:dyDescent="0.25">
      <c r="A50" s="38" t="s">
        <v>187</v>
      </c>
      <c r="B50" s="44" t="s">
        <v>188</v>
      </c>
      <c r="C50" s="39" t="s">
        <v>20</v>
      </c>
      <c r="D50" s="39" t="s">
        <v>17</v>
      </c>
      <c r="E50" s="45" t="s">
        <v>18</v>
      </c>
      <c r="F50" s="40">
        <v>500000</v>
      </c>
      <c r="G50" s="41">
        <v>1</v>
      </c>
      <c r="H50" s="1">
        <v>10</v>
      </c>
      <c r="I50" s="42">
        <v>35.729999999999997</v>
      </c>
      <c r="J50" s="42">
        <v>34.5</v>
      </c>
      <c r="K50" s="42">
        <v>31.1</v>
      </c>
      <c r="L50" s="46">
        <v>38</v>
      </c>
      <c r="M50" s="43">
        <v>-80000.0000000008</v>
      </c>
      <c r="N50" s="43">
        <v>17865000</v>
      </c>
    </row>
    <row r="51" spans="1:14" x14ac:dyDescent="0.25">
      <c r="A51" s="38" t="s">
        <v>189</v>
      </c>
      <c r="B51" s="44" t="s">
        <v>190</v>
      </c>
      <c r="C51" s="39" t="s">
        <v>20</v>
      </c>
      <c r="D51" s="39" t="s">
        <v>17</v>
      </c>
      <c r="E51" s="45" t="s">
        <v>18</v>
      </c>
      <c r="F51" s="40">
        <v>10000</v>
      </c>
      <c r="G51" s="41">
        <v>0.1</v>
      </c>
      <c r="H51" s="1">
        <v>30</v>
      </c>
      <c r="I51" s="42">
        <v>42.440000480000002</v>
      </c>
      <c r="J51" s="42">
        <v>41.300269999999998</v>
      </c>
      <c r="K51" s="42">
        <v>30</v>
      </c>
      <c r="L51" s="46">
        <v>40</v>
      </c>
      <c r="M51" s="43">
        <v>21122.339199999999</v>
      </c>
      <c r="N51" s="43">
        <v>424400.0048</v>
      </c>
    </row>
    <row r="52" spans="1:14" x14ac:dyDescent="0.25">
      <c r="A52" s="38" t="s">
        <v>43</v>
      </c>
      <c r="B52" s="44" t="s">
        <v>191</v>
      </c>
      <c r="C52" s="39" t="s">
        <v>16</v>
      </c>
      <c r="D52" s="39" t="s">
        <v>17</v>
      </c>
      <c r="E52" s="45" t="s">
        <v>19</v>
      </c>
      <c r="F52" s="40">
        <v>60406</v>
      </c>
      <c r="G52" s="41">
        <v>0.86294285714285701</v>
      </c>
      <c r="H52" s="1">
        <v>192</v>
      </c>
      <c r="I52" s="42">
        <v>15.8</v>
      </c>
      <c r="J52" s="42">
        <v>14.9674285714286</v>
      </c>
      <c r="K52" s="42">
        <v>12.5</v>
      </c>
      <c r="L52" s="46">
        <v>18</v>
      </c>
      <c r="M52" s="43">
        <v>-3624.36</v>
      </c>
      <c r="N52" s="43">
        <v>954414.8</v>
      </c>
    </row>
    <row r="53" spans="1:14" x14ac:dyDescent="0.25">
      <c r="A53" s="38" t="s">
        <v>192</v>
      </c>
      <c r="B53" s="44" t="s">
        <v>193</v>
      </c>
      <c r="C53" s="39" t="s">
        <v>16</v>
      </c>
      <c r="D53" s="39" t="s">
        <v>25</v>
      </c>
      <c r="E53" s="45" t="s">
        <v>31</v>
      </c>
      <c r="F53" s="40">
        <v>25000</v>
      </c>
      <c r="G53" s="41">
        <v>0.41666666666666702</v>
      </c>
      <c r="H53" s="1">
        <v>11</v>
      </c>
      <c r="I53" s="42">
        <v>21.8</v>
      </c>
      <c r="J53" s="42">
        <v>20.963799999999999</v>
      </c>
      <c r="K53" s="42">
        <v>16.899999999999999</v>
      </c>
      <c r="L53" s="46">
        <v>19.5</v>
      </c>
      <c r="M53" s="43">
        <v>-3750</v>
      </c>
      <c r="N53" s="43">
        <v>545000</v>
      </c>
    </row>
    <row r="54" spans="1:14" x14ac:dyDescent="0.25">
      <c r="A54" s="38" t="s">
        <v>194</v>
      </c>
      <c r="B54" s="44" t="s">
        <v>195</v>
      </c>
      <c r="C54" s="39" t="s">
        <v>23</v>
      </c>
      <c r="D54" s="39" t="s">
        <v>17</v>
      </c>
      <c r="E54" s="45" t="s">
        <v>18</v>
      </c>
      <c r="F54" s="40">
        <v>400000</v>
      </c>
      <c r="G54" s="41">
        <v>1</v>
      </c>
      <c r="H54" s="1">
        <v>10</v>
      </c>
      <c r="I54" s="42">
        <v>10.16</v>
      </c>
      <c r="J54" s="42">
        <v>10</v>
      </c>
      <c r="K54" s="42"/>
      <c r="L54" s="46"/>
      <c r="M54" s="43">
        <v>0</v>
      </c>
      <c r="N54" s="43">
        <v>4064000</v>
      </c>
    </row>
    <row r="55" spans="1:14" x14ac:dyDescent="0.25">
      <c r="A55" s="38" t="s">
        <v>44</v>
      </c>
      <c r="B55" s="44" t="s">
        <v>196</v>
      </c>
      <c r="C55" s="39" t="s">
        <v>16</v>
      </c>
      <c r="D55" s="39" t="s">
        <v>25</v>
      </c>
      <c r="E55" s="45" t="s">
        <v>31</v>
      </c>
      <c r="F55" s="40">
        <v>85000</v>
      </c>
      <c r="G55" s="41">
        <v>0.84296963325862295</v>
      </c>
      <c r="H55" s="1">
        <v>53</v>
      </c>
      <c r="I55" s="42">
        <v>35.28</v>
      </c>
      <c r="J55" s="42">
        <v>32.279727076184599</v>
      </c>
      <c r="K55" s="42">
        <v>27</v>
      </c>
      <c r="L55" s="46">
        <v>33</v>
      </c>
      <c r="M55" s="43">
        <v>67150</v>
      </c>
      <c r="N55" s="43">
        <v>2998800</v>
      </c>
    </row>
    <row r="56" spans="1:14" x14ac:dyDescent="0.25">
      <c r="A56" s="38" t="s">
        <v>45</v>
      </c>
      <c r="B56" s="44" t="s">
        <v>197</v>
      </c>
      <c r="C56" s="39" t="s">
        <v>16</v>
      </c>
      <c r="D56" s="39" t="s">
        <v>17</v>
      </c>
      <c r="E56" s="45" t="s">
        <v>31</v>
      </c>
      <c r="F56" s="40">
        <v>157032</v>
      </c>
      <c r="G56" s="41">
        <v>0.66618021381299897</v>
      </c>
      <c r="H56" s="1">
        <v>203</v>
      </c>
      <c r="I56" s="42">
        <v>73.58</v>
      </c>
      <c r="J56" s="42">
        <v>68.518958934328893</v>
      </c>
      <c r="K56" s="42">
        <v>50</v>
      </c>
      <c r="L56" s="46">
        <v>53</v>
      </c>
      <c r="M56" s="43">
        <v>-169466.57320000001</v>
      </c>
      <c r="N56" s="43">
        <v>11554414.560000001</v>
      </c>
    </row>
    <row r="57" spans="1:14" x14ac:dyDescent="0.25">
      <c r="A57" s="38" t="s">
        <v>198</v>
      </c>
      <c r="B57" s="44" t="s">
        <v>199</v>
      </c>
      <c r="C57" s="39" t="s">
        <v>20</v>
      </c>
      <c r="D57" s="39" t="s">
        <v>17</v>
      </c>
      <c r="E57" s="45" t="s">
        <v>19</v>
      </c>
      <c r="F57" s="40">
        <v>245000</v>
      </c>
      <c r="G57" s="41">
        <v>1</v>
      </c>
      <c r="H57" s="1">
        <v>7</v>
      </c>
      <c r="I57" s="42">
        <v>18.75</v>
      </c>
      <c r="J57" s="42">
        <v>18.001506122449001</v>
      </c>
      <c r="K57" s="42">
        <v>16.2</v>
      </c>
      <c r="L57" s="46">
        <v>19.8</v>
      </c>
      <c r="M57" s="43">
        <v>48999.999999999898</v>
      </c>
      <c r="N57" s="43">
        <v>4593750</v>
      </c>
    </row>
    <row r="58" spans="1:14" x14ac:dyDescent="0.25">
      <c r="A58" s="38" t="s">
        <v>200</v>
      </c>
      <c r="B58" s="44" t="s">
        <v>201</v>
      </c>
      <c r="C58" s="39" t="s">
        <v>20</v>
      </c>
      <c r="D58" s="39" t="s">
        <v>21</v>
      </c>
      <c r="E58" s="45" t="s">
        <v>22</v>
      </c>
      <c r="F58" s="40">
        <v>100000</v>
      </c>
      <c r="G58" s="41">
        <v>1</v>
      </c>
      <c r="H58" s="1">
        <v>3</v>
      </c>
      <c r="I58" s="42">
        <v>14.39</v>
      </c>
      <c r="J58" s="42">
        <v>15.09464</v>
      </c>
      <c r="K58" s="42"/>
      <c r="L58" s="46"/>
      <c r="M58" s="43">
        <v>18000</v>
      </c>
      <c r="N58" s="43">
        <v>1439000</v>
      </c>
    </row>
    <row r="59" spans="1:14" x14ac:dyDescent="0.25">
      <c r="A59" s="38" t="s">
        <v>202</v>
      </c>
      <c r="B59" s="44" t="s">
        <v>203</v>
      </c>
      <c r="C59" s="39" t="s">
        <v>20</v>
      </c>
      <c r="D59" s="39"/>
      <c r="E59" s="45" t="s">
        <v>31</v>
      </c>
      <c r="F59" s="40">
        <v>115000</v>
      </c>
      <c r="G59" s="41">
        <v>1</v>
      </c>
      <c r="H59" s="1">
        <v>2</v>
      </c>
      <c r="I59" s="42">
        <v>56.04</v>
      </c>
      <c r="J59" s="42">
        <v>53.604817391304401</v>
      </c>
      <c r="K59" s="42">
        <v>26.5</v>
      </c>
      <c r="L59" s="46">
        <v>30.5</v>
      </c>
      <c r="M59" s="43">
        <v>288111.00209999998</v>
      </c>
      <c r="N59" s="43">
        <v>6444600</v>
      </c>
    </row>
    <row r="60" spans="1:14" x14ac:dyDescent="0.25">
      <c r="A60" s="38" t="s">
        <v>406</v>
      </c>
      <c r="B60" s="44" t="s">
        <v>407</v>
      </c>
      <c r="C60" s="39" t="s">
        <v>20</v>
      </c>
      <c r="D60" s="39" t="s">
        <v>25</v>
      </c>
      <c r="E60" s="45" t="s">
        <v>33</v>
      </c>
      <c r="F60" s="40">
        <v>300000</v>
      </c>
      <c r="G60" s="41">
        <v>1</v>
      </c>
      <c r="H60" s="1">
        <v>1</v>
      </c>
      <c r="I60" s="42">
        <v>62.15</v>
      </c>
      <c r="J60" s="42">
        <v>63.011299999999999</v>
      </c>
      <c r="K60" s="42"/>
      <c r="L60" s="46"/>
      <c r="M60" s="43">
        <v>-258390.00829999999</v>
      </c>
      <c r="N60" s="43">
        <v>18645000</v>
      </c>
    </row>
    <row r="61" spans="1:14" x14ac:dyDescent="0.25">
      <c r="A61" s="38" t="s">
        <v>46</v>
      </c>
      <c r="B61" s="44" t="s">
        <v>204</v>
      </c>
      <c r="C61" s="39" t="s">
        <v>16</v>
      </c>
      <c r="D61" s="39" t="s">
        <v>17</v>
      </c>
      <c r="E61" s="45" t="s">
        <v>47</v>
      </c>
      <c r="F61" s="40">
        <v>110546</v>
      </c>
      <c r="G61" s="41">
        <v>1</v>
      </c>
      <c r="H61" s="1">
        <v>155</v>
      </c>
      <c r="I61" s="42">
        <v>17.25</v>
      </c>
      <c r="J61" s="42">
        <v>17.5119588225716</v>
      </c>
      <c r="K61" s="42">
        <v>12.75</v>
      </c>
      <c r="L61" s="46">
        <v>18</v>
      </c>
      <c r="M61" s="43">
        <v>-16581.900000000001</v>
      </c>
      <c r="N61" s="43">
        <v>1906918.5</v>
      </c>
    </row>
    <row r="62" spans="1:14" x14ac:dyDescent="0.25">
      <c r="A62" s="38" t="s">
        <v>205</v>
      </c>
      <c r="B62" s="44" t="s">
        <v>206</v>
      </c>
      <c r="C62" s="39" t="s">
        <v>23</v>
      </c>
      <c r="D62" s="39" t="s">
        <v>17</v>
      </c>
      <c r="E62" s="45" t="s">
        <v>18</v>
      </c>
      <c r="F62" s="40">
        <v>500000</v>
      </c>
      <c r="G62" s="41">
        <v>1</v>
      </c>
      <c r="H62" s="1">
        <v>14</v>
      </c>
      <c r="I62" s="42">
        <v>10.25</v>
      </c>
      <c r="J62" s="42">
        <v>10</v>
      </c>
      <c r="K62" s="42"/>
      <c r="L62" s="46"/>
      <c r="M62" s="43">
        <v>19999.9999999998</v>
      </c>
      <c r="N62" s="43">
        <v>5125000</v>
      </c>
    </row>
    <row r="63" spans="1:14" x14ac:dyDescent="0.25">
      <c r="A63" s="38" t="s">
        <v>207</v>
      </c>
      <c r="B63" s="44" t="s">
        <v>208</v>
      </c>
      <c r="C63" s="39" t="s">
        <v>23</v>
      </c>
      <c r="D63" s="39" t="s">
        <v>25</v>
      </c>
      <c r="E63" s="45" t="s">
        <v>31</v>
      </c>
      <c r="F63" s="40">
        <v>674478</v>
      </c>
      <c r="G63" s="41">
        <v>0.74941999999999998</v>
      </c>
      <c r="H63" s="1">
        <v>29</v>
      </c>
      <c r="I63" s="42">
        <v>23.69</v>
      </c>
      <c r="J63" s="42">
        <v>23.6567988888889</v>
      </c>
      <c r="K63" s="42">
        <v>21.3</v>
      </c>
      <c r="L63" s="46">
        <v>26</v>
      </c>
      <c r="M63" s="43">
        <v>-49376.035599999697</v>
      </c>
      <c r="N63" s="43">
        <v>15978383.82</v>
      </c>
    </row>
    <row r="64" spans="1:14" x14ac:dyDescent="0.25">
      <c r="A64" s="38" t="s">
        <v>209</v>
      </c>
      <c r="B64" s="44" t="s">
        <v>210</v>
      </c>
      <c r="C64" s="39" t="s">
        <v>20</v>
      </c>
      <c r="D64" s="39" t="s">
        <v>17</v>
      </c>
      <c r="E64" s="45" t="s">
        <v>29</v>
      </c>
      <c r="F64" s="40">
        <v>300000</v>
      </c>
      <c r="G64" s="41">
        <v>1.0032941491229499</v>
      </c>
      <c r="H64" s="1">
        <v>10</v>
      </c>
      <c r="I64" s="42">
        <v>25.110009420000001</v>
      </c>
      <c r="J64" s="42">
        <v>28.5859338160293</v>
      </c>
      <c r="K64" s="42">
        <v>17</v>
      </c>
      <c r="L64" s="46">
        <v>25</v>
      </c>
      <c r="M64" s="43">
        <v>-204000</v>
      </c>
      <c r="N64" s="43">
        <v>7533002.8260000004</v>
      </c>
    </row>
    <row r="65" spans="1:14" x14ac:dyDescent="0.25">
      <c r="A65" s="38" t="s">
        <v>211</v>
      </c>
      <c r="B65" s="44" t="s">
        <v>212</v>
      </c>
      <c r="C65" s="39" t="s">
        <v>20</v>
      </c>
      <c r="D65" s="39" t="s">
        <v>17</v>
      </c>
      <c r="E65" s="45" t="s">
        <v>18</v>
      </c>
      <c r="F65" s="40">
        <v>141664</v>
      </c>
      <c r="G65" s="41">
        <v>0.80950857142857102</v>
      </c>
      <c r="H65" s="1">
        <v>22</v>
      </c>
      <c r="I65" s="42">
        <v>51.86</v>
      </c>
      <c r="J65" s="42">
        <v>49.195085714285703</v>
      </c>
      <c r="K65" s="42">
        <v>27</v>
      </c>
      <c r="L65" s="46">
        <v>33</v>
      </c>
      <c r="M65" s="43">
        <v>-93498.240000000194</v>
      </c>
      <c r="N65" s="43">
        <v>7346695.04</v>
      </c>
    </row>
    <row r="66" spans="1:14" x14ac:dyDescent="0.25">
      <c r="A66" s="38" t="s">
        <v>48</v>
      </c>
      <c r="B66" s="44" t="s">
        <v>49</v>
      </c>
      <c r="C66" s="39" t="s">
        <v>16</v>
      </c>
      <c r="D66" s="39" t="s">
        <v>25</v>
      </c>
      <c r="E66" s="45" t="s">
        <v>31</v>
      </c>
      <c r="F66" s="40">
        <v>68899</v>
      </c>
      <c r="G66" s="41">
        <v>0.98427142857142902</v>
      </c>
      <c r="H66" s="1">
        <v>91</v>
      </c>
      <c r="I66" s="42">
        <v>11.24</v>
      </c>
      <c r="J66" s="42">
        <v>11.570271428571401</v>
      </c>
      <c r="K66" s="42"/>
      <c r="L66" s="46"/>
      <c r="M66" s="43">
        <v>15846.77</v>
      </c>
      <c r="N66" s="43">
        <v>774424.76</v>
      </c>
    </row>
    <row r="67" spans="1:14" x14ac:dyDescent="0.25">
      <c r="A67" s="38" t="s">
        <v>213</v>
      </c>
      <c r="B67" s="44" t="s">
        <v>214</v>
      </c>
      <c r="C67" s="39" t="s">
        <v>20</v>
      </c>
      <c r="D67" s="39" t="s">
        <v>17</v>
      </c>
      <c r="E67" s="45" t="s">
        <v>33</v>
      </c>
      <c r="F67" s="40">
        <v>275000</v>
      </c>
      <c r="G67" s="41">
        <v>1</v>
      </c>
      <c r="H67" s="1">
        <v>10</v>
      </c>
      <c r="I67" s="42">
        <v>36.83</v>
      </c>
      <c r="J67" s="42">
        <v>37.9</v>
      </c>
      <c r="K67" s="42">
        <v>34.1</v>
      </c>
      <c r="L67" s="46">
        <v>41.7</v>
      </c>
      <c r="M67" s="43">
        <v>93499.999999999607</v>
      </c>
      <c r="N67" s="43">
        <v>10128250</v>
      </c>
    </row>
    <row r="68" spans="1:14" x14ac:dyDescent="0.25">
      <c r="A68" s="38" t="s">
        <v>215</v>
      </c>
      <c r="B68" s="44" t="s">
        <v>216</v>
      </c>
      <c r="C68" s="39" t="s">
        <v>20</v>
      </c>
      <c r="D68" s="39" t="s">
        <v>17</v>
      </c>
      <c r="E68" s="45" t="s">
        <v>217</v>
      </c>
      <c r="F68" s="40">
        <v>245000</v>
      </c>
      <c r="G68" s="41">
        <v>2.4500000000000002</v>
      </c>
      <c r="H68" s="1">
        <v>10</v>
      </c>
      <c r="I68" s="42">
        <v>19.559999999999999</v>
      </c>
      <c r="J68" s="42">
        <v>37.67944</v>
      </c>
      <c r="K68" s="42">
        <v>13.4</v>
      </c>
      <c r="L68" s="46">
        <v>16.350000000000001</v>
      </c>
      <c r="M68" s="43">
        <v>58799.999999999898</v>
      </c>
      <c r="N68" s="43">
        <v>4792200</v>
      </c>
    </row>
    <row r="69" spans="1:14" x14ac:dyDescent="0.25">
      <c r="A69" s="38" t="s">
        <v>51</v>
      </c>
      <c r="B69" s="44" t="s">
        <v>218</v>
      </c>
      <c r="C69" s="39" t="s">
        <v>20</v>
      </c>
      <c r="D69" s="39" t="s">
        <v>21</v>
      </c>
      <c r="E69" s="45" t="s">
        <v>22</v>
      </c>
      <c r="F69" s="40">
        <v>16955</v>
      </c>
      <c r="G69" s="41">
        <v>0.16787128712871299</v>
      </c>
      <c r="H69" s="1">
        <v>49</v>
      </c>
      <c r="I69" s="42">
        <v>30.99</v>
      </c>
      <c r="J69" s="42">
        <v>34</v>
      </c>
      <c r="K69" s="42">
        <v>19</v>
      </c>
      <c r="L69" s="46">
        <v>20</v>
      </c>
      <c r="M69" s="43">
        <v>-13828.8604</v>
      </c>
      <c r="N69" s="43">
        <v>525435.44999999995</v>
      </c>
    </row>
    <row r="70" spans="1:14" x14ac:dyDescent="0.25">
      <c r="A70" s="38" t="s">
        <v>408</v>
      </c>
      <c r="B70" s="44" t="s">
        <v>409</v>
      </c>
      <c r="C70" s="39" t="s">
        <v>23</v>
      </c>
      <c r="D70" s="39" t="s">
        <v>25</v>
      </c>
      <c r="E70" s="45"/>
      <c r="F70" s="40">
        <v>70000</v>
      </c>
      <c r="G70" s="41">
        <v>1</v>
      </c>
      <c r="H70" s="1">
        <v>1</v>
      </c>
      <c r="I70" s="42">
        <v>18.350000000000001</v>
      </c>
      <c r="J70" s="42">
        <v>14.49</v>
      </c>
      <c r="K70" s="42"/>
      <c r="L70" s="46"/>
      <c r="M70" s="43">
        <v>270199.995</v>
      </c>
      <c r="N70" s="43">
        <v>1284500</v>
      </c>
    </row>
    <row r="71" spans="1:14" x14ac:dyDescent="0.25">
      <c r="A71" s="38" t="s">
        <v>219</v>
      </c>
      <c r="B71" s="44" t="s">
        <v>220</v>
      </c>
      <c r="C71" s="39" t="s">
        <v>20</v>
      </c>
      <c r="D71" s="39" t="s">
        <v>21</v>
      </c>
      <c r="E71" s="45" t="s">
        <v>22</v>
      </c>
      <c r="F71" s="40">
        <v>275000</v>
      </c>
      <c r="G71" s="41">
        <v>1</v>
      </c>
      <c r="H71" s="1">
        <v>15</v>
      </c>
      <c r="I71" s="42">
        <v>11.68</v>
      </c>
      <c r="J71" s="42">
        <v>11.002694545454499</v>
      </c>
      <c r="K71" s="42">
        <v>9.9</v>
      </c>
      <c r="L71" s="46">
        <v>12.1</v>
      </c>
      <c r="M71" s="43">
        <v>129250</v>
      </c>
      <c r="N71" s="43">
        <v>3212000</v>
      </c>
    </row>
    <row r="72" spans="1:14" x14ac:dyDescent="0.25">
      <c r="A72" s="38" t="s">
        <v>221</v>
      </c>
      <c r="B72" s="44" t="s">
        <v>222</v>
      </c>
      <c r="C72" s="39" t="s">
        <v>20</v>
      </c>
      <c r="D72" s="39" t="s">
        <v>21</v>
      </c>
      <c r="E72" s="45" t="s">
        <v>22</v>
      </c>
      <c r="F72" s="40">
        <v>250000</v>
      </c>
      <c r="G72" s="41">
        <v>1</v>
      </c>
      <c r="H72" s="1">
        <v>9</v>
      </c>
      <c r="I72" s="42">
        <v>24.88</v>
      </c>
      <c r="J72" s="42">
        <v>24.113507999999999</v>
      </c>
      <c r="K72" s="42">
        <v>21.7</v>
      </c>
      <c r="L72" s="46">
        <v>26.5</v>
      </c>
      <c r="M72" s="43">
        <v>-117500</v>
      </c>
      <c r="N72" s="43">
        <v>6220000</v>
      </c>
    </row>
    <row r="73" spans="1:14" x14ac:dyDescent="0.25">
      <c r="A73" s="38" t="s">
        <v>223</v>
      </c>
      <c r="B73" s="44" t="s">
        <v>224</v>
      </c>
      <c r="C73" s="39" t="s">
        <v>20</v>
      </c>
      <c r="D73" s="39" t="s">
        <v>17</v>
      </c>
      <c r="E73" s="45" t="s">
        <v>18</v>
      </c>
      <c r="F73" s="40">
        <v>80000</v>
      </c>
      <c r="G73" s="41">
        <v>1</v>
      </c>
      <c r="H73" s="1">
        <v>15</v>
      </c>
      <c r="I73" s="42">
        <v>34.85</v>
      </c>
      <c r="J73" s="42">
        <v>33.333024999999999</v>
      </c>
      <c r="K73" s="42">
        <v>30</v>
      </c>
      <c r="L73" s="46">
        <v>36.6</v>
      </c>
      <c r="M73" s="43">
        <v>0</v>
      </c>
      <c r="N73" s="43">
        <v>2788000</v>
      </c>
    </row>
    <row r="74" spans="1:14" x14ac:dyDescent="0.25">
      <c r="A74" s="38" t="s">
        <v>225</v>
      </c>
      <c r="B74" s="44" t="s">
        <v>226</v>
      </c>
      <c r="C74" s="39" t="s">
        <v>20</v>
      </c>
      <c r="D74" s="39" t="s">
        <v>17</v>
      </c>
      <c r="E74" s="45" t="s">
        <v>22</v>
      </c>
      <c r="F74" s="40">
        <v>164276</v>
      </c>
      <c r="G74" s="41">
        <v>0.43230526315789503</v>
      </c>
      <c r="H74" s="1">
        <v>9</v>
      </c>
      <c r="I74" s="42">
        <v>104.73</v>
      </c>
      <c r="J74" s="42">
        <v>103.369234210526</v>
      </c>
      <c r="K74" s="42">
        <v>93</v>
      </c>
      <c r="L74" s="46">
        <v>113.7</v>
      </c>
      <c r="M74" s="43">
        <v>-157196.3352</v>
      </c>
      <c r="N74" s="43">
        <v>17204625.48</v>
      </c>
    </row>
    <row r="75" spans="1:14" x14ac:dyDescent="0.25">
      <c r="A75" s="38" t="s">
        <v>52</v>
      </c>
      <c r="B75" s="44" t="s">
        <v>53</v>
      </c>
      <c r="C75" s="39" t="s">
        <v>16</v>
      </c>
      <c r="D75" s="39" t="s">
        <v>17</v>
      </c>
      <c r="E75" s="45" t="s">
        <v>22</v>
      </c>
      <c r="F75" s="40">
        <v>5576</v>
      </c>
      <c r="G75" s="41">
        <v>1</v>
      </c>
      <c r="H75" s="1">
        <v>214</v>
      </c>
      <c r="I75" s="42">
        <v>19.350000000000001</v>
      </c>
      <c r="J75" s="42">
        <v>13.055954088952699</v>
      </c>
      <c r="K75" s="42"/>
      <c r="L75" s="46"/>
      <c r="M75" s="43">
        <v>2230.4</v>
      </c>
      <c r="N75" s="43">
        <v>107895.6</v>
      </c>
    </row>
    <row r="76" spans="1:14" x14ac:dyDescent="0.25">
      <c r="A76" s="38" t="s">
        <v>227</v>
      </c>
      <c r="B76" s="44" t="s">
        <v>228</v>
      </c>
      <c r="C76" s="39" t="s">
        <v>23</v>
      </c>
      <c r="D76" s="39" t="s">
        <v>21</v>
      </c>
      <c r="E76" s="45" t="s">
        <v>22</v>
      </c>
      <c r="F76" s="40">
        <v>41717</v>
      </c>
      <c r="G76" s="41">
        <v>0.108464308464308</v>
      </c>
      <c r="H76" s="1">
        <v>28</v>
      </c>
      <c r="I76" s="42">
        <v>12</v>
      </c>
      <c r="J76" s="42">
        <v>13</v>
      </c>
      <c r="K76" s="42">
        <v>11.7</v>
      </c>
      <c r="L76" s="46">
        <v>14.3</v>
      </c>
      <c r="M76" s="43">
        <v>-28964.024799999999</v>
      </c>
      <c r="N76" s="43">
        <v>500604</v>
      </c>
    </row>
    <row r="77" spans="1:14" x14ac:dyDescent="0.25">
      <c r="A77" s="38" t="s">
        <v>229</v>
      </c>
      <c r="B77" s="44" t="s">
        <v>230</v>
      </c>
      <c r="C77" s="39" t="s">
        <v>20</v>
      </c>
      <c r="D77" s="39" t="s">
        <v>25</v>
      </c>
      <c r="E77" s="45" t="s">
        <v>50</v>
      </c>
      <c r="F77" s="40">
        <v>50000</v>
      </c>
      <c r="G77" s="41">
        <v>1</v>
      </c>
      <c r="H77" s="1">
        <v>10</v>
      </c>
      <c r="I77" s="42">
        <v>18.88</v>
      </c>
      <c r="J77" s="42">
        <v>18.5</v>
      </c>
      <c r="K77" s="42">
        <v>16.7</v>
      </c>
      <c r="L77" s="46">
        <v>20.399999999999999</v>
      </c>
      <c r="M77" s="43">
        <v>-8500.00000000004</v>
      </c>
      <c r="N77" s="43">
        <v>944000</v>
      </c>
    </row>
    <row r="78" spans="1:14" x14ac:dyDescent="0.25">
      <c r="A78" s="38" t="s">
        <v>231</v>
      </c>
      <c r="B78" s="44" t="s">
        <v>232</v>
      </c>
      <c r="C78" s="39" t="s">
        <v>20</v>
      </c>
      <c r="D78" s="39" t="s">
        <v>17</v>
      </c>
      <c r="E78" s="45" t="s">
        <v>22</v>
      </c>
      <c r="F78" s="40">
        <v>600000</v>
      </c>
      <c r="G78" s="41">
        <v>1</v>
      </c>
      <c r="H78" s="1">
        <v>10</v>
      </c>
      <c r="I78" s="42">
        <v>3.72</v>
      </c>
      <c r="J78" s="42">
        <v>3.6425466666666702</v>
      </c>
      <c r="K78" s="42">
        <v>3.25</v>
      </c>
      <c r="L78" s="46">
        <v>4.0999999999999996</v>
      </c>
      <c r="M78" s="43">
        <v>-23999.999999999902</v>
      </c>
      <c r="N78" s="43">
        <v>2232000</v>
      </c>
    </row>
    <row r="79" spans="1:14" x14ac:dyDescent="0.25">
      <c r="A79" s="38" t="s">
        <v>233</v>
      </c>
      <c r="B79" s="44" t="s">
        <v>234</v>
      </c>
      <c r="C79" s="39" t="s">
        <v>20</v>
      </c>
      <c r="D79" s="39" t="s">
        <v>21</v>
      </c>
      <c r="E79" s="45" t="s">
        <v>22</v>
      </c>
      <c r="F79" s="40">
        <v>100000</v>
      </c>
      <c r="G79" s="41">
        <v>1</v>
      </c>
      <c r="H79" s="1">
        <v>2</v>
      </c>
      <c r="I79" s="42">
        <v>10.65</v>
      </c>
      <c r="J79" s="42">
        <v>9.5</v>
      </c>
      <c r="K79" s="42"/>
      <c r="L79" s="46"/>
      <c r="M79" s="43">
        <v>15000</v>
      </c>
      <c r="N79" s="43">
        <v>1065000</v>
      </c>
    </row>
    <row r="80" spans="1:14" x14ac:dyDescent="0.25">
      <c r="A80" s="38" t="s">
        <v>54</v>
      </c>
      <c r="B80" s="44" t="s">
        <v>235</v>
      </c>
      <c r="C80" s="39" t="s">
        <v>16</v>
      </c>
      <c r="D80" s="39" t="s">
        <v>17</v>
      </c>
      <c r="E80" s="45" t="s">
        <v>18</v>
      </c>
      <c r="F80" s="40">
        <v>100000</v>
      </c>
      <c r="G80" s="41">
        <v>1</v>
      </c>
      <c r="H80" s="1">
        <v>115</v>
      </c>
      <c r="I80" s="42">
        <v>24.57</v>
      </c>
      <c r="J80" s="42">
        <v>21.797879999999999</v>
      </c>
      <c r="K80" s="42">
        <v>13</v>
      </c>
      <c r="L80" s="46">
        <v>15</v>
      </c>
      <c r="M80" s="43">
        <v>29000</v>
      </c>
      <c r="N80" s="43">
        <v>2457000</v>
      </c>
    </row>
    <row r="81" spans="1:14" x14ac:dyDescent="0.25">
      <c r="A81" s="38" t="s">
        <v>410</v>
      </c>
      <c r="B81" s="44" t="s">
        <v>411</v>
      </c>
      <c r="C81" s="39" t="s">
        <v>23</v>
      </c>
      <c r="D81" s="39" t="s">
        <v>21</v>
      </c>
      <c r="E81" s="45"/>
      <c r="F81" s="40">
        <v>100000</v>
      </c>
      <c r="G81" s="41">
        <v>1</v>
      </c>
      <c r="H81" s="1">
        <v>1</v>
      </c>
      <c r="I81" s="42">
        <v>17.75</v>
      </c>
      <c r="J81" s="42">
        <v>16.935500000000001</v>
      </c>
      <c r="K81" s="42"/>
      <c r="L81" s="46"/>
      <c r="M81" s="43">
        <v>81449.991999999998</v>
      </c>
      <c r="N81" s="43">
        <v>1775000</v>
      </c>
    </row>
    <row r="82" spans="1:14" x14ac:dyDescent="0.25">
      <c r="A82" s="38" t="s">
        <v>55</v>
      </c>
      <c r="B82" s="44" t="s">
        <v>236</v>
      </c>
      <c r="C82" s="39" t="s">
        <v>23</v>
      </c>
      <c r="D82" s="39" t="s">
        <v>237</v>
      </c>
      <c r="E82" s="45" t="s">
        <v>18</v>
      </c>
      <c r="F82" s="40">
        <v>24000</v>
      </c>
      <c r="G82" s="41">
        <v>0.76699370426001101</v>
      </c>
      <c r="H82" s="1">
        <v>63</v>
      </c>
      <c r="I82" s="42">
        <v>27.17</v>
      </c>
      <c r="J82" s="42">
        <v>28.772586366686902</v>
      </c>
      <c r="K82" s="42">
        <v>25.9</v>
      </c>
      <c r="L82" s="46">
        <v>31.65</v>
      </c>
      <c r="M82" s="43">
        <v>-3600</v>
      </c>
      <c r="N82" s="43">
        <v>652080</v>
      </c>
    </row>
    <row r="83" spans="1:14" x14ac:dyDescent="0.25">
      <c r="A83" s="38" t="s">
        <v>412</v>
      </c>
      <c r="B83" s="44" t="s">
        <v>413</v>
      </c>
      <c r="C83" s="39" t="s">
        <v>20</v>
      </c>
      <c r="D83" s="39" t="s">
        <v>17</v>
      </c>
      <c r="E83" s="45"/>
      <c r="F83" s="40">
        <v>70851</v>
      </c>
      <c r="G83" s="41">
        <v>0.56680799999999998</v>
      </c>
      <c r="H83" s="1">
        <v>1</v>
      </c>
      <c r="I83" s="42">
        <v>25.63</v>
      </c>
      <c r="J83" s="42">
        <v>22</v>
      </c>
      <c r="K83" s="42"/>
      <c r="L83" s="46"/>
      <c r="M83" s="43">
        <v>257189.13</v>
      </c>
      <c r="N83" s="43">
        <v>1815911.13</v>
      </c>
    </row>
    <row r="84" spans="1:14" x14ac:dyDescent="0.25">
      <c r="A84" s="38" t="s">
        <v>56</v>
      </c>
      <c r="B84" s="44" t="s">
        <v>238</v>
      </c>
      <c r="C84" s="39" t="s">
        <v>16</v>
      </c>
      <c r="D84" s="39" t="s">
        <v>25</v>
      </c>
      <c r="E84" s="45" t="s">
        <v>31</v>
      </c>
      <c r="F84" s="40">
        <v>15500</v>
      </c>
      <c r="G84" s="41">
        <v>0.56363636363636405</v>
      </c>
      <c r="H84" s="1">
        <v>226</v>
      </c>
      <c r="I84" s="42">
        <v>111.4</v>
      </c>
      <c r="J84" s="42">
        <v>118.791418181818</v>
      </c>
      <c r="K84" s="42">
        <v>106.4</v>
      </c>
      <c r="L84" s="46">
        <v>130</v>
      </c>
      <c r="M84" s="43">
        <v>-20925</v>
      </c>
      <c r="N84" s="43">
        <v>1726700</v>
      </c>
    </row>
    <row r="85" spans="1:14" x14ac:dyDescent="0.25">
      <c r="A85" s="38" t="s">
        <v>239</v>
      </c>
      <c r="B85" s="44" t="s">
        <v>240</v>
      </c>
      <c r="C85" s="39" t="s">
        <v>16</v>
      </c>
      <c r="D85" s="39" t="s">
        <v>25</v>
      </c>
      <c r="E85" s="45" t="s">
        <v>31</v>
      </c>
      <c r="F85" s="40">
        <v>25000</v>
      </c>
      <c r="G85" s="41">
        <v>0.5</v>
      </c>
      <c r="H85" s="1">
        <v>16</v>
      </c>
      <c r="I85" s="42">
        <v>42.35</v>
      </c>
      <c r="J85" s="42">
        <v>39.638100000000001</v>
      </c>
      <c r="K85" s="42">
        <v>25.5</v>
      </c>
      <c r="L85" s="46">
        <v>30.75</v>
      </c>
      <c r="M85" s="43">
        <v>15000</v>
      </c>
      <c r="N85" s="43">
        <v>1058750</v>
      </c>
    </row>
    <row r="86" spans="1:14" x14ac:dyDescent="0.25">
      <c r="A86" s="38" t="s">
        <v>241</v>
      </c>
      <c r="B86" s="44" t="s">
        <v>242</v>
      </c>
      <c r="C86" s="39" t="s">
        <v>20</v>
      </c>
      <c r="D86" s="39" t="s">
        <v>21</v>
      </c>
      <c r="E86" s="45" t="s">
        <v>22</v>
      </c>
      <c r="F86" s="40">
        <v>5000</v>
      </c>
      <c r="G86" s="41">
        <v>0.5</v>
      </c>
      <c r="H86" s="1">
        <v>15</v>
      </c>
      <c r="I86" s="42">
        <v>285.35000000000002</v>
      </c>
      <c r="J86" s="42">
        <v>304.14</v>
      </c>
      <c r="K86" s="42">
        <v>125</v>
      </c>
      <c r="L86" s="46">
        <v>130</v>
      </c>
      <c r="M86" s="43">
        <v>-83349.999999999898</v>
      </c>
      <c r="N86" s="43">
        <v>1426750</v>
      </c>
    </row>
    <row r="87" spans="1:14" x14ac:dyDescent="0.25">
      <c r="A87" s="38" t="s">
        <v>414</v>
      </c>
      <c r="B87" s="44" t="s">
        <v>415</v>
      </c>
      <c r="C87" s="39" t="s">
        <v>23</v>
      </c>
      <c r="D87" s="39" t="s">
        <v>21</v>
      </c>
      <c r="E87" s="45"/>
      <c r="F87" s="40">
        <v>137500</v>
      </c>
      <c r="G87" s="41">
        <v>1</v>
      </c>
      <c r="H87" s="1">
        <v>1</v>
      </c>
      <c r="I87" s="42">
        <v>14.52</v>
      </c>
      <c r="J87" s="42">
        <v>15.1554036363636</v>
      </c>
      <c r="K87" s="42"/>
      <c r="L87" s="46"/>
      <c r="M87" s="43">
        <v>-87368.005600000106</v>
      </c>
      <c r="N87" s="43">
        <v>1996500</v>
      </c>
    </row>
    <row r="88" spans="1:14" x14ac:dyDescent="0.25">
      <c r="A88" s="38" t="s">
        <v>243</v>
      </c>
      <c r="B88" s="44" t="s">
        <v>244</v>
      </c>
      <c r="C88" s="39" t="s">
        <v>23</v>
      </c>
      <c r="D88" s="39" t="s">
        <v>21</v>
      </c>
      <c r="E88" s="45" t="s">
        <v>22</v>
      </c>
      <c r="F88" s="40">
        <v>84959</v>
      </c>
      <c r="G88" s="41">
        <v>0.84958999999999996</v>
      </c>
      <c r="H88" s="1">
        <v>14</v>
      </c>
      <c r="I88" s="42">
        <v>12.79</v>
      </c>
      <c r="J88" s="42">
        <v>15</v>
      </c>
      <c r="K88" s="42">
        <v>13.5</v>
      </c>
      <c r="L88" s="46">
        <v>16.5</v>
      </c>
      <c r="M88" s="43">
        <v>-155069.38939999999</v>
      </c>
      <c r="N88" s="43">
        <v>1086625.6100000001</v>
      </c>
    </row>
    <row r="89" spans="1:14" x14ac:dyDescent="0.25">
      <c r="A89" s="38" t="s">
        <v>245</v>
      </c>
      <c r="B89" s="44" t="s">
        <v>246</v>
      </c>
      <c r="C89" s="39" t="s">
        <v>20</v>
      </c>
      <c r="D89" s="39" t="s">
        <v>21</v>
      </c>
      <c r="E89" s="45" t="s">
        <v>22</v>
      </c>
      <c r="F89" s="40">
        <v>400000</v>
      </c>
      <c r="G89" s="41">
        <v>1</v>
      </c>
      <c r="H89" s="1">
        <v>29</v>
      </c>
      <c r="I89" s="42">
        <v>7.45</v>
      </c>
      <c r="J89" s="42">
        <v>5</v>
      </c>
      <c r="K89" s="42">
        <v>4.5</v>
      </c>
      <c r="L89" s="46">
        <v>5.5</v>
      </c>
      <c r="M89" s="43">
        <v>-200000</v>
      </c>
      <c r="N89" s="43">
        <v>2980000</v>
      </c>
    </row>
    <row r="90" spans="1:14" x14ac:dyDescent="0.25">
      <c r="A90" s="38" t="s">
        <v>247</v>
      </c>
      <c r="B90" s="44" t="s">
        <v>248</v>
      </c>
      <c r="C90" s="39" t="s">
        <v>20</v>
      </c>
      <c r="D90" s="39" t="s">
        <v>21</v>
      </c>
      <c r="E90" s="45" t="s">
        <v>22</v>
      </c>
      <c r="F90" s="40">
        <v>70000</v>
      </c>
      <c r="G90" s="41">
        <v>1</v>
      </c>
      <c r="H90" s="1">
        <v>15</v>
      </c>
      <c r="I90" s="42">
        <v>52.4</v>
      </c>
      <c r="J90" s="42">
        <v>42.654899999999998</v>
      </c>
      <c r="K90" s="42">
        <v>38.4</v>
      </c>
      <c r="L90" s="46">
        <v>47</v>
      </c>
      <c r="M90" s="43">
        <v>63000</v>
      </c>
      <c r="N90" s="43">
        <v>3668000</v>
      </c>
    </row>
    <row r="91" spans="1:14" x14ac:dyDescent="0.25">
      <c r="A91" s="38" t="s">
        <v>249</v>
      </c>
      <c r="B91" s="44" t="s">
        <v>250</v>
      </c>
      <c r="C91" s="39" t="s">
        <v>20</v>
      </c>
      <c r="D91" s="39" t="s">
        <v>17</v>
      </c>
      <c r="E91" s="45" t="s">
        <v>29</v>
      </c>
      <c r="F91" s="40">
        <v>140000</v>
      </c>
      <c r="G91" s="41">
        <v>0.8</v>
      </c>
      <c r="H91" s="1">
        <v>35</v>
      </c>
      <c r="I91" s="42">
        <v>19.400000299999999</v>
      </c>
      <c r="J91" s="42">
        <v>18.5</v>
      </c>
      <c r="K91" s="42">
        <v>19</v>
      </c>
      <c r="L91" s="46">
        <v>20</v>
      </c>
      <c r="M91" s="43">
        <v>-90044.532000000094</v>
      </c>
      <c r="N91" s="43">
        <v>2716000.0419999999</v>
      </c>
    </row>
    <row r="92" spans="1:14" x14ac:dyDescent="0.25">
      <c r="A92" s="38" t="s">
        <v>57</v>
      </c>
      <c r="B92" s="44" t="s">
        <v>251</v>
      </c>
      <c r="C92" s="39" t="s">
        <v>121</v>
      </c>
      <c r="D92" s="39" t="s">
        <v>21</v>
      </c>
      <c r="E92" s="45" t="s">
        <v>22</v>
      </c>
      <c r="F92" s="40">
        <v>107000</v>
      </c>
      <c r="G92" s="41">
        <v>1</v>
      </c>
      <c r="H92" s="1">
        <v>30</v>
      </c>
      <c r="I92" s="42">
        <v>47.95</v>
      </c>
      <c r="J92" s="42">
        <v>49.631308411215002</v>
      </c>
      <c r="K92" s="42">
        <v>40</v>
      </c>
      <c r="L92" s="46">
        <v>48</v>
      </c>
      <c r="M92" s="43">
        <v>-107000</v>
      </c>
      <c r="N92" s="43">
        <v>5130650</v>
      </c>
    </row>
    <row r="93" spans="1:14" x14ac:dyDescent="0.25">
      <c r="A93" s="38" t="s">
        <v>252</v>
      </c>
      <c r="B93" s="44" t="s">
        <v>253</v>
      </c>
      <c r="C93" s="39" t="s">
        <v>20</v>
      </c>
      <c r="D93" s="39" t="s">
        <v>17</v>
      </c>
      <c r="E93" s="45" t="s">
        <v>47</v>
      </c>
      <c r="F93" s="40">
        <v>3062000</v>
      </c>
      <c r="G93" s="41">
        <v>1</v>
      </c>
      <c r="H93" s="1">
        <v>36</v>
      </c>
      <c r="I93" s="42">
        <v>10.39</v>
      </c>
      <c r="J93" s="42">
        <v>10.1</v>
      </c>
      <c r="K93" s="42"/>
      <c r="L93" s="46"/>
      <c r="M93" s="43">
        <v>122480.000000001</v>
      </c>
      <c r="N93" s="43">
        <v>31814180</v>
      </c>
    </row>
    <row r="94" spans="1:14" x14ac:dyDescent="0.25">
      <c r="A94" s="38" t="s">
        <v>58</v>
      </c>
      <c r="B94" s="44" t="s">
        <v>254</v>
      </c>
      <c r="C94" s="39" t="s">
        <v>16</v>
      </c>
      <c r="D94" s="39" t="s">
        <v>17</v>
      </c>
      <c r="E94" s="45" t="s">
        <v>18</v>
      </c>
      <c r="F94" s="40">
        <v>8500</v>
      </c>
      <c r="G94" s="41">
        <v>0.101657617145454</v>
      </c>
      <c r="H94" s="1">
        <v>431</v>
      </c>
      <c r="I94" s="42">
        <v>47.65</v>
      </c>
      <c r="J94" s="42">
        <v>30.711794675532801</v>
      </c>
      <c r="K94" s="42">
        <v>30</v>
      </c>
      <c r="L94" s="46">
        <v>40</v>
      </c>
      <c r="M94" s="43">
        <v>-5355</v>
      </c>
      <c r="N94" s="43">
        <v>405025</v>
      </c>
    </row>
    <row r="95" spans="1:14" x14ac:dyDescent="0.25">
      <c r="A95" s="38" t="s">
        <v>416</v>
      </c>
      <c r="B95" s="44" t="s">
        <v>417</v>
      </c>
      <c r="C95" s="39" t="s">
        <v>20</v>
      </c>
      <c r="D95" s="39" t="s">
        <v>21</v>
      </c>
      <c r="E95" s="45" t="s">
        <v>22</v>
      </c>
      <c r="F95" s="40">
        <v>90779</v>
      </c>
      <c r="G95" s="41">
        <v>1</v>
      </c>
      <c r="H95" s="1">
        <v>1</v>
      </c>
      <c r="I95" s="42">
        <v>14.93</v>
      </c>
      <c r="J95" s="42">
        <v>14.844654620562</v>
      </c>
      <c r="K95" s="42">
        <v>15</v>
      </c>
      <c r="L95" s="46">
        <v>20</v>
      </c>
      <c r="M95" s="43">
        <v>7747.5653999999504</v>
      </c>
      <c r="N95" s="43">
        <v>1355330.47</v>
      </c>
    </row>
    <row r="96" spans="1:14" x14ac:dyDescent="0.25">
      <c r="A96" s="38" t="s">
        <v>255</v>
      </c>
      <c r="B96" s="44" t="s">
        <v>256</v>
      </c>
      <c r="C96" s="39" t="s">
        <v>20</v>
      </c>
      <c r="D96" s="39" t="s">
        <v>21</v>
      </c>
      <c r="E96" s="45" t="s">
        <v>22</v>
      </c>
      <c r="F96" s="40">
        <v>100000</v>
      </c>
      <c r="G96" s="41">
        <v>1</v>
      </c>
      <c r="H96" s="1">
        <v>15</v>
      </c>
      <c r="I96" s="42">
        <v>25.01</v>
      </c>
      <c r="J96" s="42">
        <v>22.25</v>
      </c>
      <c r="K96" s="42">
        <v>20</v>
      </c>
      <c r="L96" s="46">
        <v>24.5</v>
      </c>
      <c r="M96" s="43">
        <v>-32999.999999999898</v>
      </c>
      <c r="N96" s="43">
        <v>2501000</v>
      </c>
    </row>
    <row r="97" spans="1:14" x14ac:dyDescent="0.25">
      <c r="A97" s="38" t="s">
        <v>257</v>
      </c>
      <c r="B97" s="44" t="s">
        <v>258</v>
      </c>
      <c r="C97" s="39" t="s">
        <v>20</v>
      </c>
      <c r="D97" s="39" t="s">
        <v>25</v>
      </c>
      <c r="E97" s="45" t="s">
        <v>31</v>
      </c>
      <c r="F97" s="40">
        <v>64100</v>
      </c>
      <c r="G97" s="41">
        <v>1</v>
      </c>
      <c r="H97" s="1">
        <v>2</v>
      </c>
      <c r="I97" s="42">
        <v>29.43</v>
      </c>
      <c r="J97" s="42">
        <v>28.1145942277691</v>
      </c>
      <c r="K97" s="42">
        <v>24.2</v>
      </c>
      <c r="L97" s="46">
        <v>29.5</v>
      </c>
      <c r="M97" s="43">
        <v>62717.506500000003</v>
      </c>
      <c r="N97" s="43">
        <v>1886463</v>
      </c>
    </row>
    <row r="98" spans="1:14" x14ac:dyDescent="0.25">
      <c r="A98" s="38" t="s">
        <v>59</v>
      </c>
      <c r="B98" s="44" t="s">
        <v>259</v>
      </c>
      <c r="C98" s="39" t="s">
        <v>16</v>
      </c>
      <c r="D98" s="39" t="s">
        <v>17</v>
      </c>
      <c r="E98" s="45" t="s">
        <v>18</v>
      </c>
      <c r="F98" s="40">
        <v>26619</v>
      </c>
      <c r="G98" s="41">
        <v>1</v>
      </c>
      <c r="H98" s="1">
        <v>207</v>
      </c>
      <c r="I98" s="42">
        <v>16.03</v>
      </c>
      <c r="J98" s="42">
        <v>16.4293925391638</v>
      </c>
      <c r="K98" s="42"/>
      <c r="L98" s="46"/>
      <c r="M98" s="43">
        <v>1863.33</v>
      </c>
      <c r="N98" s="43">
        <v>426702.57</v>
      </c>
    </row>
    <row r="99" spans="1:14" x14ac:dyDescent="0.25">
      <c r="A99" s="38" t="s">
        <v>260</v>
      </c>
      <c r="B99" s="44" t="s">
        <v>261</v>
      </c>
      <c r="C99" s="39" t="s">
        <v>20</v>
      </c>
      <c r="D99" s="39" t="s">
        <v>21</v>
      </c>
      <c r="E99" s="45" t="s">
        <v>22</v>
      </c>
      <c r="F99" s="40">
        <v>80000</v>
      </c>
      <c r="G99" s="41">
        <v>0.53333333333333299</v>
      </c>
      <c r="H99" s="1">
        <v>30</v>
      </c>
      <c r="I99" s="42">
        <v>5.3</v>
      </c>
      <c r="J99" s="42">
        <v>5.5</v>
      </c>
      <c r="K99" s="42">
        <v>4.95</v>
      </c>
      <c r="L99" s="46">
        <v>6.1</v>
      </c>
      <c r="M99" s="43">
        <v>1196.0524</v>
      </c>
      <c r="N99" s="43">
        <v>424000</v>
      </c>
    </row>
    <row r="100" spans="1:14" x14ac:dyDescent="0.25">
      <c r="A100" s="38" t="s">
        <v>262</v>
      </c>
      <c r="B100" s="44" t="s">
        <v>263</v>
      </c>
      <c r="C100" s="39" t="s">
        <v>23</v>
      </c>
      <c r="D100" s="39" t="s">
        <v>25</v>
      </c>
      <c r="E100" s="45" t="s">
        <v>31</v>
      </c>
      <c r="F100" s="40">
        <v>14880</v>
      </c>
      <c r="G100" s="41">
        <v>5.9520000000000003E-2</v>
      </c>
      <c r="H100" s="1">
        <v>36</v>
      </c>
      <c r="I100" s="42">
        <v>24.92</v>
      </c>
      <c r="J100" s="42">
        <v>18.688300000000002</v>
      </c>
      <c r="K100" s="42">
        <v>28</v>
      </c>
      <c r="L100" s="46">
        <v>29</v>
      </c>
      <c r="M100" s="43">
        <v>-14757.036099999999</v>
      </c>
      <c r="N100" s="43">
        <v>370809.59999999998</v>
      </c>
    </row>
    <row r="101" spans="1:14" x14ac:dyDescent="0.25">
      <c r="A101" s="38" t="s">
        <v>60</v>
      </c>
      <c r="B101" s="44" t="s">
        <v>264</v>
      </c>
      <c r="C101" s="39" t="s">
        <v>121</v>
      </c>
      <c r="D101" s="39" t="s">
        <v>17</v>
      </c>
      <c r="E101" s="45" t="s">
        <v>31</v>
      </c>
      <c r="F101" s="40">
        <v>455000</v>
      </c>
      <c r="G101" s="41">
        <v>0.88349514563106801</v>
      </c>
      <c r="H101" s="1">
        <v>7</v>
      </c>
      <c r="I101" s="42">
        <v>24.03</v>
      </c>
      <c r="J101" s="42">
        <v>23.620246601941702</v>
      </c>
      <c r="K101" s="42">
        <v>11.75</v>
      </c>
      <c r="L101" s="46">
        <v>13</v>
      </c>
      <c r="M101" s="43">
        <v>-72800</v>
      </c>
      <c r="N101" s="43">
        <v>10933650</v>
      </c>
    </row>
    <row r="102" spans="1:14" x14ac:dyDescent="0.25">
      <c r="A102" s="38" t="s">
        <v>265</v>
      </c>
      <c r="B102" s="44" t="s">
        <v>266</v>
      </c>
      <c r="C102" s="39" t="s">
        <v>20</v>
      </c>
      <c r="D102" s="39" t="s">
        <v>25</v>
      </c>
      <c r="E102" s="45" t="s">
        <v>33</v>
      </c>
      <c r="F102" s="40">
        <v>125000</v>
      </c>
      <c r="G102" s="41">
        <v>1</v>
      </c>
      <c r="H102" s="1">
        <v>15</v>
      </c>
      <c r="I102" s="42">
        <v>14.4</v>
      </c>
      <c r="J102" s="42">
        <v>14.728759999999999</v>
      </c>
      <c r="K102" s="42">
        <v>13.25</v>
      </c>
      <c r="L102" s="46">
        <v>16.2</v>
      </c>
      <c r="M102" s="43">
        <v>-36250</v>
      </c>
      <c r="N102" s="43">
        <v>1800000</v>
      </c>
    </row>
    <row r="103" spans="1:14" x14ac:dyDescent="0.25">
      <c r="A103" s="38" t="s">
        <v>62</v>
      </c>
      <c r="B103" s="44" t="s">
        <v>267</v>
      </c>
      <c r="C103" s="39" t="s">
        <v>16</v>
      </c>
      <c r="D103" s="39" t="s">
        <v>17</v>
      </c>
      <c r="E103" s="45" t="s">
        <v>19</v>
      </c>
      <c r="F103" s="40">
        <v>33548</v>
      </c>
      <c r="G103" s="41">
        <v>0.40154162876430299</v>
      </c>
      <c r="H103" s="1">
        <v>92</v>
      </c>
      <c r="I103" s="42">
        <v>15.91</v>
      </c>
      <c r="J103" s="42">
        <v>20.566105711686699</v>
      </c>
      <c r="K103" s="42">
        <v>19</v>
      </c>
      <c r="L103" s="46">
        <v>24</v>
      </c>
      <c r="M103" s="43">
        <v>-5367.68</v>
      </c>
      <c r="N103" s="43">
        <v>533748.68000000005</v>
      </c>
    </row>
    <row r="104" spans="1:14" x14ac:dyDescent="0.25">
      <c r="A104" s="38" t="s">
        <v>268</v>
      </c>
      <c r="B104" s="44" t="s">
        <v>269</v>
      </c>
      <c r="C104" s="39" t="s">
        <v>20</v>
      </c>
      <c r="D104" s="39" t="s">
        <v>25</v>
      </c>
      <c r="E104" s="45" t="s">
        <v>31</v>
      </c>
      <c r="F104" s="40">
        <v>83629</v>
      </c>
      <c r="G104" s="41">
        <v>0.37168444444444398</v>
      </c>
      <c r="H104" s="1">
        <v>30</v>
      </c>
      <c r="I104" s="42">
        <v>56.35</v>
      </c>
      <c r="J104" s="42">
        <v>58.2571288888889</v>
      </c>
      <c r="K104" s="42">
        <v>52.4</v>
      </c>
      <c r="L104" s="46">
        <v>64</v>
      </c>
      <c r="M104" s="43">
        <v>-249256.5001</v>
      </c>
      <c r="N104" s="43">
        <v>4712494.1500000004</v>
      </c>
    </row>
    <row r="105" spans="1:14" x14ac:dyDescent="0.25">
      <c r="A105" s="38" t="s">
        <v>63</v>
      </c>
      <c r="B105" s="44" t="s">
        <v>270</v>
      </c>
      <c r="C105" s="39" t="s">
        <v>16</v>
      </c>
      <c r="D105" s="39" t="s">
        <v>17</v>
      </c>
      <c r="E105" s="45" t="s">
        <v>18</v>
      </c>
      <c r="F105" s="40">
        <v>50000</v>
      </c>
      <c r="G105" s="41">
        <v>1</v>
      </c>
      <c r="H105" s="1">
        <v>136</v>
      </c>
      <c r="I105" s="42">
        <v>16.57</v>
      </c>
      <c r="J105" s="42">
        <v>14.515739999999999</v>
      </c>
      <c r="K105" s="42"/>
      <c r="L105" s="46"/>
      <c r="M105" s="43">
        <v>-1500</v>
      </c>
      <c r="N105" s="43">
        <v>828500</v>
      </c>
    </row>
    <row r="106" spans="1:14" x14ac:dyDescent="0.25">
      <c r="A106" s="38" t="s">
        <v>271</v>
      </c>
      <c r="B106" s="44" t="s">
        <v>272</v>
      </c>
      <c r="C106" s="39" t="s">
        <v>20</v>
      </c>
      <c r="D106" s="39" t="s">
        <v>21</v>
      </c>
      <c r="E106" s="45" t="s">
        <v>22</v>
      </c>
      <c r="F106" s="40">
        <v>115000</v>
      </c>
      <c r="G106" s="41">
        <v>1</v>
      </c>
      <c r="H106" s="1">
        <v>3</v>
      </c>
      <c r="I106" s="42">
        <v>32.909999999999997</v>
      </c>
      <c r="J106" s="42">
        <v>26.745963043478302</v>
      </c>
      <c r="K106" s="42">
        <v>24</v>
      </c>
      <c r="L106" s="46">
        <v>32</v>
      </c>
      <c r="M106" s="43">
        <v>703302.25069999998</v>
      </c>
      <c r="N106" s="43">
        <v>3784650</v>
      </c>
    </row>
    <row r="107" spans="1:14" x14ac:dyDescent="0.25">
      <c r="A107" s="38" t="s">
        <v>64</v>
      </c>
      <c r="B107" s="44" t="s">
        <v>273</v>
      </c>
      <c r="C107" s="39" t="s">
        <v>20</v>
      </c>
      <c r="D107" s="39" t="s">
        <v>21</v>
      </c>
      <c r="E107" s="45" t="s">
        <v>22</v>
      </c>
      <c r="F107" s="40">
        <v>36000</v>
      </c>
      <c r="G107" s="41">
        <v>0.36</v>
      </c>
      <c r="H107" s="1">
        <v>219</v>
      </c>
      <c r="I107" s="42">
        <v>161.24</v>
      </c>
      <c r="J107" s="42">
        <v>85</v>
      </c>
      <c r="K107" s="42">
        <v>150</v>
      </c>
      <c r="L107" s="46">
        <v>190</v>
      </c>
      <c r="M107" s="43">
        <v>-133560</v>
      </c>
      <c r="N107" s="43">
        <v>5804640</v>
      </c>
    </row>
    <row r="108" spans="1:14" x14ac:dyDescent="0.25">
      <c r="A108" s="38" t="s">
        <v>65</v>
      </c>
      <c r="B108" s="44" t="s">
        <v>274</v>
      </c>
      <c r="C108" s="39" t="s">
        <v>20</v>
      </c>
      <c r="D108" s="39" t="s">
        <v>25</v>
      </c>
      <c r="E108" s="45" t="s">
        <v>31</v>
      </c>
      <c r="F108" s="40">
        <v>305000</v>
      </c>
      <c r="G108" s="41">
        <v>1</v>
      </c>
      <c r="H108" s="1">
        <v>29</v>
      </c>
      <c r="I108" s="42">
        <v>26.38</v>
      </c>
      <c r="J108" s="42">
        <v>23.121616393442601</v>
      </c>
      <c r="K108" s="42">
        <v>11.5</v>
      </c>
      <c r="L108" s="46">
        <v>15</v>
      </c>
      <c r="M108" s="43">
        <v>-250100</v>
      </c>
      <c r="N108" s="43">
        <v>8045900</v>
      </c>
    </row>
    <row r="109" spans="1:14" x14ac:dyDescent="0.25">
      <c r="A109" s="38" t="s">
        <v>66</v>
      </c>
      <c r="B109" s="44" t="s">
        <v>67</v>
      </c>
      <c r="C109" s="39" t="s">
        <v>121</v>
      </c>
      <c r="D109" s="39" t="s">
        <v>25</v>
      </c>
      <c r="E109" s="45" t="s">
        <v>31</v>
      </c>
      <c r="F109" s="40">
        <v>30000</v>
      </c>
      <c r="G109" s="41">
        <v>0.119449576352169</v>
      </c>
      <c r="H109" s="1">
        <v>77</v>
      </c>
      <c r="I109" s="42">
        <v>29.69</v>
      </c>
      <c r="J109" s="42">
        <v>25.133003121615602</v>
      </c>
      <c r="K109" s="42">
        <v>16.2</v>
      </c>
      <c r="L109" s="46">
        <v>19.8</v>
      </c>
      <c r="M109" s="43">
        <v>-20700</v>
      </c>
      <c r="N109" s="43">
        <v>890700</v>
      </c>
    </row>
    <row r="110" spans="1:14" x14ac:dyDescent="0.25">
      <c r="A110" s="38" t="s">
        <v>68</v>
      </c>
      <c r="B110" s="44" t="s">
        <v>275</v>
      </c>
      <c r="C110" s="39" t="s">
        <v>16</v>
      </c>
      <c r="D110" s="39" t="s">
        <v>17</v>
      </c>
      <c r="E110" s="45" t="s">
        <v>47</v>
      </c>
      <c r="F110" s="40">
        <v>75000</v>
      </c>
      <c r="G110" s="41">
        <v>0.5</v>
      </c>
      <c r="H110" s="1">
        <v>134</v>
      </c>
      <c r="I110" s="42">
        <v>13.63</v>
      </c>
      <c r="J110" s="42">
        <v>17.397066666666699</v>
      </c>
      <c r="K110" s="42">
        <v>14.3</v>
      </c>
      <c r="L110" s="46">
        <v>17</v>
      </c>
      <c r="M110" s="43">
        <v>-117588.69</v>
      </c>
      <c r="N110" s="43">
        <v>1022250</v>
      </c>
    </row>
    <row r="111" spans="1:14" x14ac:dyDescent="0.25">
      <c r="A111" s="38" t="s">
        <v>276</v>
      </c>
      <c r="B111" s="44" t="s">
        <v>277</v>
      </c>
      <c r="C111" s="39" t="s">
        <v>23</v>
      </c>
      <c r="D111" s="39" t="s">
        <v>21</v>
      </c>
      <c r="E111" s="45" t="s">
        <v>22</v>
      </c>
      <c r="F111" s="40">
        <v>70000</v>
      </c>
      <c r="G111" s="41">
        <v>0.660377358490566</v>
      </c>
      <c r="H111" s="1">
        <v>29</v>
      </c>
      <c r="I111" s="42">
        <v>23.17</v>
      </c>
      <c r="J111" s="42">
        <v>14.161745283018901</v>
      </c>
      <c r="K111" s="42">
        <v>15</v>
      </c>
      <c r="L111" s="46">
        <v>16</v>
      </c>
      <c r="M111" s="43">
        <v>43443.721599999997</v>
      </c>
      <c r="N111" s="43">
        <v>1621900</v>
      </c>
    </row>
    <row r="112" spans="1:14" x14ac:dyDescent="0.25">
      <c r="A112" s="38" t="s">
        <v>278</v>
      </c>
      <c r="B112" s="44" t="s">
        <v>279</v>
      </c>
      <c r="C112" s="39" t="s">
        <v>20</v>
      </c>
      <c r="D112" s="39" t="s">
        <v>17</v>
      </c>
      <c r="E112" s="45" t="s">
        <v>47</v>
      </c>
      <c r="F112" s="40">
        <v>30000</v>
      </c>
      <c r="G112" s="41">
        <v>0.3</v>
      </c>
      <c r="H112" s="1">
        <v>3</v>
      </c>
      <c r="I112" s="42">
        <v>8.9</v>
      </c>
      <c r="J112" s="42">
        <v>9.9</v>
      </c>
      <c r="K112" s="42">
        <v>9</v>
      </c>
      <c r="L112" s="46">
        <v>11</v>
      </c>
      <c r="M112" s="43">
        <v>-25474.731199999998</v>
      </c>
      <c r="N112" s="43">
        <v>267000</v>
      </c>
    </row>
    <row r="113" spans="1:14" x14ac:dyDescent="0.25">
      <c r="A113" s="38" t="s">
        <v>69</v>
      </c>
      <c r="B113" s="44" t="s">
        <v>280</v>
      </c>
      <c r="C113" s="39" t="s">
        <v>16</v>
      </c>
      <c r="D113" s="39" t="s">
        <v>25</v>
      </c>
      <c r="E113" s="45" t="s">
        <v>18</v>
      </c>
      <c r="F113" s="40">
        <v>49800</v>
      </c>
      <c r="G113" s="41">
        <v>1</v>
      </c>
      <c r="H113" s="1">
        <v>137</v>
      </c>
      <c r="I113" s="42">
        <v>12.01</v>
      </c>
      <c r="J113" s="42">
        <v>14.1555823293173</v>
      </c>
      <c r="K113" s="42"/>
      <c r="L113" s="46"/>
      <c r="M113" s="43">
        <v>-32394.9</v>
      </c>
      <c r="N113" s="43">
        <v>598098</v>
      </c>
    </row>
    <row r="114" spans="1:14" x14ac:dyDescent="0.25">
      <c r="A114" s="38" t="s">
        <v>281</v>
      </c>
      <c r="B114" s="44" t="s">
        <v>282</v>
      </c>
      <c r="C114" s="39" t="s">
        <v>20</v>
      </c>
      <c r="D114" s="39" t="s">
        <v>17</v>
      </c>
      <c r="E114" s="45" t="s">
        <v>18</v>
      </c>
      <c r="F114" s="40">
        <v>120000</v>
      </c>
      <c r="G114" s="41">
        <v>0.96</v>
      </c>
      <c r="H114" s="1">
        <v>30</v>
      </c>
      <c r="I114" s="42">
        <v>26.3</v>
      </c>
      <c r="J114" s="42">
        <v>25.900079999999999</v>
      </c>
      <c r="K114" s="42">
        <v>23.3</v>
      </c>
      <c r="L114" s="46">
        <v>28.5</v>
      </c>
      <c r="M114" s="43">
        <v>-6000.00000000004</v>
      </c>
      <c r="N114" s="43">
        <v>3156000</v>
      </c>
    </row>
    <row r="115" spans="1:14" x14ac:dyDescent="0.25">
      <c r="A115" s="38" t="s">
        <v>70</v>
      </c>
      <c r="B115" s="44" t="s">
        <v>283</v>
      </c>
      <c r="C115" s="39" t="s">
        <v>16</v>
      </c>
      <c r="D115" s="39" t="s">
        <v>17</v>
      </c>
      <c r="E115" s="45" t="s">
        <v>18</v>
      </c>
      <c r="F115" s="40">
        <v>140000</v>
      </c>
      <c r="G115" s="41"/>
      <c r="H115" s="1">
        <v>1</v>
      </c>
      <c r="I115" s="42">
        <v>17.849999902499999</v>
      </c>
      <c r="J115" s="42"/>
      <c r="K115" s="42">
        <v>15.5</v>
      </c>
      <c r="L115" s="46">
        <v>19</v>
      </c>
      <c r="M115" s="43">
        <v>-30800</v>
      </c>
      <c r="N115" s="43">
        <v>2498999.9863499999</v>
      </c>
    </row>
    <row r="116" spans="1:14" x14ac:dyDescent="0.25">
      <c r="A116" s="38" t="s">
        <v>284</v>
      </c>
      <c r="B116" s="44" t="s">
        <v>285</v>
      </c>
      <c r="C116" s="39" t="s">
        <v>20</v>
      </c>
      <c r="D116" s="39" t="s">
        <v>21</v>
      </c>
      <c r="E116" s="45" t="s">
        <v>22</v>
      </c>
      <c r="F116" s="40">
        <v>250000</v>
      </c>
      <c r="G116" s="41">
        <v>1</v>
      </c>
      <c r="H116" s="1">
        <v>22</v>
      </c>
      <c r="I116" s="42">
        <v>7.83</v>
      </c>
      <c r="J116" s="42">
        <v>7.5</v>
      </c>
      <c r="K116" s="42">
        <v>9</v>
      </c>
      <c r="L116" s="46">
        <v>10</v>
      </c>
      <c r="M116" s="43">
        <v>-82500</v>
      </c>
      <c r="N116" s="43">
        <v>1957500</v>
      </c>
    </row>
    <row r="117" spans="1:14" x14ac:dyDescent="0.25">
      <c r="A117" s="38" t="s">
        <v>71</v>
      </c>
      <c r="B117" s="44" t="s">
        <v>286</v>
      </c>
      <c r="C117" s="39" t="s">
        <v>16</v>
      </c>
      <c r="D117" s="39" t="s">
        <v>21</v>
      </c>
      <c r="E117" s="45" t="s">
        <v>22</v>
      </c>
      <c r="F117" s="40">
        <v>20000</v>
      </c>
      <c r="G117" s="41">
        <v>1</v>
      </c>
      <c r="H117" s="1">
        <v>214</v>
      </c>
      <c r="I117" s="42">
        <v>3.7</v>
      </c>
      <c r="J117" s="42">
        <v>4.03</v>
      </c>
      <c r="K117" s="42">
        <v>2.0499999999999998</v>
      </c>
      <c r="L117" s="46">
        <v>2.5</v>
      </c>
      <c r="M117" s="43">
        <v>3000</v>
      </c>
      <c r="N117" s="43">
        <v>74000</v>
      </c>
    </row>
    <row r="118" spans="1:14" x14ac:dyDescent="0.25">
      <c r="A118" s="38" t="s">
        <v>72</v>
      </c>
      <c r="B118" s="44" t="s">
        <v>73</v>
      </c>
      <c r="C118" s="39" t="s">
        <v>16</v>
      </c>
      <c r="D118" s="39" t="s">
        <v>17</v>
      </c>
      <c r="E118" s="45" t="s">
        <v>19</v>
      </c>
      <c r="F118" s="40">
        <v>74723</v>
      </c>
      <c r="G118" s="41">
        <v>0.80707458011556898</v>
      </c>
      <c r="H118" s="1">
        <v>140</v>
      </c>
      <c r="I118" s="42">
        <v>26.77</v>
      </c>
      <c r="J118" s="42">
        <v>27.976356861262602</v>
      </c>
      <c r="K118" s="42">
        <v>23.5</v>
      </c>
      <c r="L118" s="46">
        <v>28</v>
      </c>
      <c r="M118" s="43">
        <v>-37361.5</v>
      </c>
      <c r="N118" s="43">
        <v>2000334.71</v>
      </c>
    </row>
    <row r="119" spans="1:14" x14ac:dyDescent="0.25">
      <c r="A119" s="38" t="s">
        <v>287</v>
      </c>
      <c r="B119" s="44" t="s">
        <v>288</v>
      </c>
      <c r="C119" s="39" t="s">
        <v>20</v>
      </c>
      <c r="D119" s="39" t="s">
        <v>17</v>
      </c>
      <c r="E119" s="45" t="s">
        <v>47</v>
      </c>
      <c r="F119" s="40">
        <v>300000</v>
      </c>
      <c r="G119" s="41">
        <v>1</v>
      </c>
      <c r="H119" s="1">
        <v>9</v>
      </c>
      <c r="I119" s="42">
        <v>16.66</v>
      </c>
      <c r="J119" s="42">
        <v>16.2</v>
      </c>
      <c r="K119" s="42">
        <v>14.6</v>
      </c>
      <c r="L119" s="46">
        <v>17.8</v>
      </c>
      <c r="M119" s="43">
        <v>-50999.9999999996</v>
      </c>
      <c r="N119" s="43">
        <v>4998000</v>
      </c>
    </row>
    <row r="120" spans="1:14" x14ac:dyDescent="0.25">
      <c r="A120" s="38" t="s">
        <v>289</v>
      </c>
      <c r="B120" s="44" t="s">
        <v>290</v>
      </c>
      <c r="C120" s="39" t="s">
        <v>20</v>
      </c>
      <c r="D120" s="39" t="s">
        <v>17</v>
      </c>
      <c r="E120" s="45" t="s">
        <v>29</v>
      </c>
      <c r="F120" s="40">
        <v>35000</v>
      </c>
      <c r="G120" s="41">
        <v>1</v>
      </c>
      <c r="H120" s="1">
        <v>28</v>
      </c>
      <c r="I120" s="42">
        <v>23.98</v>
      </c>
      <c r="J120" s="42">
        <v>24.735600000000002</v>
      </c>
      <c r="K120" s="42">
        <v>22.3</v>
      </c>
      <c r="L120" s="46">
        <v>27.2</v>
      </c>
      <c r="M120" s="43">
        <v>-21700</v>
      </c>
      <c r="N120" s="43">
        <v>839300</v>
      </c>
    </row>
    <row r="121" spans="1:14" x14ac:dyDescent="0.25">
      <c r="A121" s="38" t="s">
        <v>291</v>
      </c>
      <c r="B121" s="44" t="s">
        <v>292</v>
      </c>
      <c r="C121" s="39" t="s">
        <v>20</v>
      </c>
      <c r="D121" s="39" t="s">
        <v>25</v>
      </c>
      <c r="E121" s="45" t="s">
        <v>31</v>
      </c>
      <c r="F121" s="40">
        <v>84055</v>
      </c>
      <c r="G121" s="41">
        <v>0.36545652173913001</v>
      </c>
      <c r="H121" s="1">
        <v>31</v>
      </c>
      <c r="I121" s="42">
        <v>13.8</v>
      </c>
      <c r="J121" s="42">
        <v>13.1648304347826</v>
      </c>
      <c r="K121" s="42">
        <v>10.9</v>
      </c>
      <c r="L121" s="46">
        <v>13.35</v>
      </c>
      <c r="M121" s="43">
        <v>-39189.908000000003</v>
      </c>
      <c r="N121" s="43">
        <v>1159959</v>
      </c>
    </row>
    <row r="122" spans="1:14" x14ac:dyDescent="0.25">
      <c r="A122" s="38" t="s">
        <v>293</v>
      </c>
      <c r="B122" s="44" t="s">
        <v>294</v>
      </c>
      <c r="C122" s="39" t="s">
        <v>23</v>
      </c>
      <c r="D122" s="39" t="s">
        <v>17</v>
      </c>
      <c r="E122" s="45" t="s">
        <v>19</v>
      </c>
      <c r="F122" s="40">
        <v>459906</v>
      </c>
      <c r="G122" s="41">
        <v>1</v>
      </c>
      <c r="H122" s="1">
        <v>8</v>
      </c>
      <c r="I122" s="42">
        <v>15.63</v>
      </c>
      <c r="J122" s="42">
        <v>16.040188647245301</v>
      </c>
      <c r="K122" s="42">
        <v>14.4</v>
      </c>
      <c r="L122" s="46">
        <v>17.600000000000001</v>
      </c>
      <c r="M122" s="43">
        <v>-73584.959999999701</v>
      </c>
      <c r="N122" s="43">
        <v>7188330.7800000003</v>
      </c>
    </row>
    <row r="123" spans="1:14" x14ac:dyDescent="0.25">
      <c r="A123" s="38" t="s">
        <v>295</v>
      </c>
      <c r="B123" s="44" t="s">
        <v>296</v>
      </c>
      <c r="C123" s="39" t="s">
        <v>20</v>
      </c>
      <c r="D123" s="39" t="s">
        <v>21</v>
      </c>
      <c r="E123" s="45" t="s">
        <v>22</v>
      </c>
      <c r="F123" s="40">
        <v>273741</v>
      </c>
      <c r="G123" s="41">
        <v>0.88303548387096797</v>
      </c>
      <c r="H123" s="1">
        <v>21</v>
      </c>
      <c r="I123" s="42">
        <v>10.95</v>
      </c>
      <c r="J123" s="42">
        <v>13</v>
      </c>
      <c r="K123" s="42">
        <v>11.7</v>
      </c>
      <c r="L123" s="46">
        <v>14.3</v>
      </c>
      <c r="M123" s="43">
        <v>-224380.4178</v>
      </c>
      <c r="N123" s="43">
        <v>2997463.95</v>
      </c>
    </row>
    <row r="124" spans="1:14" x14ac:dyDescent="0.25">
      <c r="A124" s="38" t="s">
        <v>418</v>
      </c>
      <c r="B124" s="44" t="s">
        <v>419</v>
      </c>
      <c r="C124" s="39" t="s">
        <v>20</v>
      </c>
      <c r="D124" s="39" t="s">
        <v>25</v>
      </c>
      <c r="E124" s="45"/>
      <c r="F124" s="40">
        <v>22672</v>
      </c>
      <c r="G124" s="41">
        <v>0.56679999999999997</v>
      </c>
      <c r="H124" s="1">
        <v>1</v>
      </c>
      <c r="I124" s="42">
        <v>17.989999999999998</v>
      </c>
      <c r="J124" s="42">
        <v>18</v>
      </c>
      <c r="K124" s="42"/>
      <c r="L124" s="46"/>
      <c r="M124" s="43">
        <v>-226.72</v>
      </c>
      <c r="N124" s="43">
        <v>407869.28</v>
      </c>
    </row>
    <row r="125" spans="1:14" x14ac:dyDescent="0.25">
      <c r="A125" s="38" t="s">
        <v>297</v>
      </c>
      <c r="B125" s="44" t="s">
        <v>298</v>
      </c>
      <c r="C125" s="39" t="s">
        <v>20</v>
      </c>
      <c r="D125" s="39" t="s">
        <v>17</v>
      </c>
      <c r="E125" s="45" t="s">
        <v>18</v>
      </c>
      <c r="F125" s="40">
        <v>185000</v>
      </c>
      <c r="G125" s="41">
        <v>0.50684931506849296</v>
      </c>
      <c r="H125" s="1">
        <v>42</v>
      </c>
      <c r="I125" s="42">
        <v>29.75</v>
      </c>
      <c r="J125" s="42">
        <v>28.2541095890411</v>
      </c>
      <c r="K125" s="42">
        <v>21</v>
      </c>
      <c r="L125" s="46">
        <v>24.5</v>
      </c>
      <c r="M125" s="43">
        <v>15001.125100000099</v>
      </c>
      <c r="N125" s="43">
        <v>5503750</v>
      </c>
    </row>
    <row r="126" spans="1:14" x14ac:dyDescent="0.25">
      <c r="A126" s="38" t="s">
        <v>299</v>
      </c>
      <c r="B126" s="44" t="s">
        <v>300</v>
      </c>
      <c r="C126" s="39" t="s">
        <v>20</v>
      </c>
      <c r="D126" s="39" t="s">
        <v>21</v>
      </c>
      <c r="E126" s="45" t="s">
        <v>22</v>
      </c>
      <c r="F126" s="40">
        <v>150000</v>
      </c>
      <c r="G126" s="41">
        <v>1</v>
      </c>
      <c r="H126" s="1">
        <v>15</v>
      </c>
      <c r="I126" s="42">
        <v>10.64</v>
      </c>
      <c r="J126" s="42">
        <v>9.4862199999999994</v>
      </c>
      <c r="K126" s="42">
        <v>4.8</v>
      </c>
      <c r="L126" s="46">
        <v>5.9</v>
      </c>
      <c r="M126" s="43">
        <v>-250500</v>
      </c>
      <c r="N126" s="43">
        <v>1596000</v>
      </c>
    </row>
    <row r="127" spans="1:14" x14ac:dyDescent="0.25">
      <c r="A127" s="38" t="s">
        <v>301</v>
      </c>
      <c r="B127" s="44" t="s">
        <v>302</v>
      </c>
      <c r="C127" s="39" t="s">
        <v>23</v>
      </c>
      <c r="D127" s="39" t="s">
        <v>21</v>
      </c>
      <c r="E127" s="45" t="s">
        <v>22</v>
      </c>
      <c r="F127" s="40">
        <v>100000</v>
      </c>
      <c r="G127" s="41">
        <v>1</v>
      </c>
      <c r="H127" s="1">
        <v>7</v>
      </c>
      <c r="I127" s="42">
        <v>20.059999999999999</v>
      </c>
      <c r="J127" s="42">
        <v>15</v>
      </c>
      <c r="K127" s="42">
        <v>13.5</v>
      </c>
      <c r="L127" s="46">
        <v>16.5</v>
      </c>
      <c r="M127" s="43">
        <v>-18000</v>
      </c>
      <c r="N127" s="43">
        <v>2006000</v>
      </c>
    </row>
    <row r="128" spans="1:14" x14ac:dyDescent="0.25">
      <c r="A128" s="38" t="s">
        <v>303</v>
      </c>
      <c r="B128" s="44" t="s">
        <v>304</v>
      </c>
      <c r="C128" s="39" t="s">
        <v>23</v>
      </c>
      <c r="D128" s="39" t="s">
        <v>17</v>
      </c>
      <c r="E128" s="45" t="s">
        <v>18</v>
      </c>
      <c r="F128" s="40">
        <v>175000</v>
      </c>
      <c r="G128" s="41">
        <v>1</v>
      </c>
      <c r="H128" s="1">
        <v>37</v>
      </c>
      <c r="I128" s="42">
        <v>10.06500022</v>
      </c>
      <c r="J128" s="42">
        <v>10</v>
      </c>
      <c r="K128" s="42"/>
      <c r="L128" s="46"/>
      <c r="M128" s="43">
        <v>-2624.9900000000398</v>
      </c>
      <c r="N128" s="43">
        <v>1761375.0385</v>
      </c>
    </row>
    <row r="129" spans="1:14" x14ac:dyDescent="0.25">
      <c r="A129" s="38" t="s">
        <v>74</v>
      </c>
      <c r="B129" s="44" t="s">
        <v>305</v>
      </c>
      <c r="C129" s="39" t="s">
        <v>16</v>
      </c>
      <c r="D129" s="39" t="s">
        <v>17</v>
      </c>
      <c r="E129" s="45" t="s">
        <v>19</v>
      </c>
      <c r="F129" s="40">
        <v>55190</v>
      </c>
      <c r="G129" s="41">
        <v>1</v>
      </c>
      <c r="H129" s="1">
        <v>135</v>
      </c>
      <c r="I129" s="42">
        <v>15.22</v>
      </c>
      <c r="J129" s="42">
        <v>14.003460771879</v>
      </c>
      <c r="K129" s="42"/>
      <c r="L129" s="46">
        <v>16</v>
      </c>
      <c r="M129" s="43">
        <v>6070.9</v>
      </c>
      <c r="N129" s="43">
        <v>839991.8</v>
      </c>
    </row>
    <row r="130" spans="1:14" x14ac:dyDescent="0.25">
      <c r="A130" s="38" t="s">
        <v>75</v>
      </c>
      <c r="B130" s="44" t="s">
        <v>306</v>
      </c>
      <c r="C130" s="39" t="s">
        <v>121</v>
      </c>
      <c r="D130" s="39" t="s">
        <v>25</v>
      </c>
      <c r="E130" s="45" t="s">
        <v>18</v>
      </c>
      <c r="F130" s="40">
        <v>2700000</v>
      </c>
      <c r="G130" s="41">
        <v>1</v>
      </c>
      <c r="H130" s="1">
        <v>31</v>
      </c>
      <c r="I130" s="42">
        <v>1.31</v>
      </c>
      <c r="J130" s="42">
        <v>1.3777611111111101</v>
      </c>
      <c r="K130" s="42">
        <v>1.25</v>
      </c>
      <c r="L130" s="46">
        <v>1.6</v>
      </c>
      <c r="M130" s="43">
        <v>-81000</v>
      </c>
      <c r="N130" s="43">
        <v>3537000</v>
      </c>
    </row>
    <row r="131" spans="1:14" x14ac:dyDescent="0.25">
      <c r="A131" s="38" t="s">
        <v>307</v>
      </c>
      <c r="B131" s="44" t="s">
        <v>308</v>
      </c>
      <c r="C131" s="39" t="s">
        <v>20</v>
      </c>
      <c r="D131" s="39" t="s">
        <v>17</v>
      </c>
      <c r="E131" s="45" t="s">
        <v>19</v>
      </c>
      <c r="F131" s="40">
        <v>110409</v>
      </c>
      <c r="G131" s="41">
        <v>1.4721200000000001</v>
      </c>
      <c r="H131" s="1">
        <v>10</v>
      </c>
      <c r="I131" s="42">
        <v>28.3</v>
      </c>
      <c r="J131" s="42">
        <v>43.083066666666703</v>
      </c>
      <c r="K131" s="42">
        <v>26.3</v>
      </c>
      <c r="L131" s="46">
        <v>32.200000000000003</v>
      </c>
      <c r="M131" s="43">
        <v>-66245.399999999907</v>
      </c>
      <c r="N131" s="43">
        <v>3124574.7</v>
      </c>
    </row>
    <row r="132" spans="1:14" x14ac:dyDescent="0.25">
      <c r="A132" s="38" t="s">
        <v>420</v>
      </c>
      <c r="B132" s="44" t="s">
        <v>421</v>
      </c>
      <c r="C132" s="39" t="s">
        <v>23</v>
      </c>
      <c r="D132" s="39" t="s">
        <v>21</v>
      </c>
      <c r="E132" s="45"/>
      <c r="F132" s="40">
        <v>162019</v>
      </c>
      <c r="G132" s="41">
        <v>1</v>
      </c>
      <c r="H132" s="1">
        <v>1</v>
      </c>
      <c r="I132" s="42">
        <v>20.22</v>
      </c>
      <c r="J132" s="42">
        <v>15.8450617174529</v>
      </c>
      <c r="K132" s="42"/>
      <c r="L132" s="46"/>
      <c r="M132" s="43">
        <v>708823.12659999996</v>
      </c>
      <c r="N132" s="43">
        <v>3276024.18</v>
      </c>
    </row>
    <row r="133" spans="1:14" x14ac:dyDescent="0.25">
      <c r="A133" s="38" t="s">
        <v>309</v>
      </c>
      <c r="B133" s="44" t="s">
        <v>310</v>
      </c>
      <c r="C133" s="39" t="s">
        <v>20</v>
      </c>
      <c r="D133" s="39" t="s">
        <v>21</v>
      </c>
      <c r="E133" s="45" t="s">
        <v>22</v>
      </c>
      <c r="F133" s="40">
        <v>200000</v>
      </c>
      <c r="G133" s="41">
        <v>1</v>
      </c>
      <c r="H133" s="1">
        <v>15</v>
      </c>
      <c r="I133" s="42">
        <v>16.11</v>
      </c>
      <c r="J133" s="42">
        <v>15.75</v>
      </c>
      <c r="K133" s="42">
        <v>14.2</v>
      </c>
      <c r="L133" s="46">
        <v>17.5</v>
      </c>
      <c r="M133" s="43">
        <v>-89999.999999999898</v>
      </c>
      <c r="N133" s="43">
        <v>3222000</v>
      </c>
    </row>
    <row r="136" spans="1:14" x14ac:dyDescent="0.25">
      <c r="A136" s="48" t="s">
        <v>379</v>
      </c>
    </row>
    <row r="137" spans="1:14" x14ac:dyDescent="0.25">
      <c r="A137" s="48" t="s">
        <v>392</v>
      </c>
    </row>
    <row r="138" spans="1:14" x14ac:dyDescent="0.25">
      <c r="A138" s="48" t="s">
        <v>384</v>
      </c>
    </row>
    <row r="139" spans="1:14" x14ac:dyDescent="0.25">
      <c r="A139" s="48" t="s">
        <v>385</v>
      </c>
    </row>
    <row r="140" spans="1:14" x14ac:dyDescent="0.25">
      <c r="A140" s="48" t="s">
        <v>386</v>
      </c>
    </row>
    <row r="141" spans="1:14" x14ac:dyDescent="0.25">
      <c r="A141" s="48" t="s">
        <v>387</v>
      </c>
    </row>
    <row r="142" spans="1:14" x14ac:dyDescent="0.25">
      <c r="A142" s="48" t="s">
        <v>388</v>
      </c>
    </row>
  </sheetData>
  <mergeCells count="2">
    <mergeCell ref="A1:N1"/>
    <mergeCell ref="A3:N3"/>
  </mergeCells>
  <conditionalFormatting sqref="A4:N4">
    <cfRule type="expression" dxfId="6" priority="42">
      <formula>MOD(ROW(),2)=0</formula>
    </cfRule>
  </conditionalFormatting>
  <conditionalFormatting sqref="A5:N5">
    <cfRule type="expression" dxfId="5" priority="39">
      <formula>MOD(ROW(),2)=0</formula>
    </cfRule>
  </conditionalFormatting>
  <conditionalFormatting sqref="A6:N133">
    <cfRule type="expression" dxfId="4" priority="1">
      <formula>MOD(ROW(),2)=0</formula>
    </cfRule>
  </conditionalFormatting>
  <pageMargins left="0.25" right="0.25" top="0.75" bottom="0.75" header="0.3" footer="0.3"/>
  <pageSetup scale="57" fitToHeight="0" orientation="portrait" r:id="rId1"/>
  <rowBreaks count="1" manualBreakCount="1">
    <brk id="71" max="1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CD2EE-2538-4A3F-B7E1-FB663DE969E9}">
  <sheetPr codeName="Sheet2">
    <pageSetUpPr fitToPage="1"/>
  </sheetPr>
  <dimension ref="A1:N30"/>
  <sheetViews>
    <sheetView showGridLines="0" view="pageBreakPreview" zoomScaleNormal="100" zoomScaleSheetLayoutView="100" workbookViewId="0">
      <selection activeCell="O6" sqref="O6"/>
    </sheetView>
  </sheetViews>
  <sheetFormatPr defaultRowHeight="15" x14ac:dyDescent="0.25"/>
  <cols>
    <col min="1" max="1" width="9.5703125" bestFit="1" customWidth="1"/>
    <col min="2" max="2" width="29.28515625" bestFit="1" customWidth="1"/>
    <col min="3" max="3" width="17.42578125" customWidth="1"/>
    <col min="4" max="4" width="16.5703125" customWidth="1"/>
    <col min="5" max="5" width="13.42578125" customWidth="1"/>
    <col min="6" max="6" width="11" customWidth="1"/>
    <col min="7" max="7" width="10.85546875" customWidth="1"/>
    <col min="8" max="8" width="5.140625" bestFit="1" customWidth="1"/>
    <col min="9" max="9" width="6.5703125" bestFit="1" customWidth="1"/>
    <col min="11" max="11" width="8.85546875" bestFit="1" customWidth="1"/>
    <col min="12" max="12" width="6.5703125" bestFit="1" customWidth="1"/>
    <col min="13" max="13" width="14.5703125" customWidth="1"/>
    <col min="14" max="14" width="15.85546875" customWidth="1"/>
  </cols>
  <sheetData>
    <row r="1" spans="1:14" ht="26.25" x14ac:dyDescent="0.25">
      <c r="A1" s="71" t="str">
        <f ca="1">"US Evening FLASH "&amp;TEXT(WORKDAY(TODAY(),-1),"mm-dd-yyyy")&amp;": "&amp;A3</f>
        <v>US Evening FLASH 06-26-2018: SHORTs</v>
      </c>
      <c r="B1" s="71"/>
      <c r="C1" s="7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</row>
    <row r="2" spans="1:14" ht="45" x14ac:dyDescent="0.25">
      <c r="A2" s="7" t="s">
        <v>0</v>
      </c>
      <c r="B2" s="15" t="s">
        <v>1</v>
      </c>
      <c r="C2" s="8" t="s">
        <v>2</v>
      </c>
      <c r="D2" s="8" t="s">
        <v>3</v>
      </c>
      <c r="E2" s="17" t="s">
        <v>4</v>
      </c>
      <c r="F2" s="8" t="s">
        <v>5</v>
      </c>
      <c r="G2" s="8" t="s">
        <v>6</v>
      </c>
      <c r="H2" s="17" t="s">
        <v>7</v>
      </c>
      <c r="I2" s="8" t="s">
        <v>8</v>
      </c>
      <c r="J2" s="8" t="s">
        <v>9</v>
      </c>
      <c r="K2" s="8" t="s">
        <v>10</v>
      </c>
      <c r="L2" s="17" t="s">
        <v>11</v>
      </c>
      <c r="M2" s="8" t="s">
        <v>12</v>
      </c>
      <c r="N2" s="8" t="s">
        <v>13</v>
      </c>
    </row>
    <row r="3" spans="1:14" ht="18.75" x14ac:dyDescent="0.25">
      <c r="A3" s="73" t="s">
        <v>77</v>
      </c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</row>
    <row r="4" spans="1:14" x14ac:dyDescent="0.25">
      <c r="A4" s="21" t="s">
        <v>79</v>
      </c>
      <c r="B4" s="22" t="s">
        <v>311</v>
      </c>
      <c r="C4" s="26" t="s">
        <v>16</v>
      </c>
      <c r="D4" s="26" t="s">
        <v>25</v>
      </c>
      <c r="E4" s="23" t="s">
        <v>19</v>
      </c>
      <c r="F4" s="27">
        <v>-52000</v>
      </c>
      <c r="G4" s="28">
        <v>0.69333333333333302</v>
      </c>
      <c r="H4" s="24">
        <v>71</v>
      </c>
      <c r="I4" s="29">
        <v>8.67</v>
      </c>
      <c r="J4" s="29">
        <v>8.4315333333333307</v>
      </c>
      <c r="K4" s="29">
        <v>12.6</v>
      </c>
      <c r="L4" s="25">
        <v>15.5</v>
      </c>
      <c r="M4" s="14">
        <v>1560</v>
      </c>
      <c r="N4" s="14">
        <v>-450840</v>
      </c>
    </row>
    <row r="5" spans="1:14" x14ac:dyDescent="0.25">
      <c r="A5" s="9" t="s">
        <v>422</v>
      </c>
      <c r="B5" s="16" t="s">
        <v>423</v>
      </c>
      <c r="C5" s="10" t="s">
        <v>16</v>
      </c>
      <c r="D5" s="10" t="s">
        <v>25</v>
      </c>
      <c r="E5" s="18" t="s">
        <v>31</v>
      </c>
      <c r="F5" s="30">
        <v>-10000</v>
      </c>
      <c r="G5" s="12">
        <v>1</v>
      </c>
      <c r="H5" s="18">
        <v>1</v>
      </c>
      <c r="I5" s="13">
        <v>26.67</v>
      </c>
      <c r="J5" s="13">
        <v>28.022735000000001</v>
      </c>
      <c r="K5" s="13">
        <v>21.1</v>
      </c>
      <c r="L5" s="19">
        <v>25.8</v>
      </c>
      <c r="M5" s="14">
        <v>13524.51</v>
      </c>
      <c r="N5" s="14">
        <v>-266700</v>
      </c>
    </row>
    <row r="6" spans="1:14" x14ac:dyDescent="0.25">
      <c r="A6" s="38" t="s">
        <v>36</v>
      </c>
      <c r="B6" s="44" t="s">
        <v>312</v>
      </c>
      <c r="C6" s="39" t="s">
        <v>16</v>
      </c>
      <c r="D6" s="39" t="s">
        <v>25</v>
      </c>
      <c r="E6" s="45" t="s">
        <v>31</v>
      </c>
      <c r="F6" s="47">
        <v>-15190</v>
      </c>
      <c r="G6" s="41">
        <v>1</v>
      </c>
      <c r="H6" s="45">
        <v>14</v>
      </c>
      <c r="I6" s="42">
        <v>63.99</v>
      </c>
      <c r="J6" s="42">
        <v>60.866359447004598</v>
      </c>
      <c r="K6" s="42">
        <v>30.15</v>
      </c>
      <c r="L6" s="46">
        <v>36.85</v>
      </c>
      <c r="M6" s="43">
        <v>5012.7</v>
      </c>
      <c r="N6" s="43">
        <v>-972008.1</v>
      </c>
    </row>
    <row r="7" spans="1:14" x14ac:dyDescent="0.25">
      <c r="A7" s="38" t="s">
        <v>313</v>
      </c>
      <c r="B7" s="44" t="s">
        <v>314</v>
      </c>
      <c r="C7" s="39" t="s">
        <v>16</v>
      </c>
      <c r="D7" s="39" t="s">
        <v>17</v>
      </c>
      <c r="E7" s="45" t="s">
        <v>18</v>
      </c>
      <c r="F7" s="47">
        <v>-13900</v>
      </c>
      <c r="G7" s="41">
        <v>1</v>
      </c>
      <c r="H7" s="45">
        <v>21</v>
      </c>
      <c r="I7" s="42">
        <v>100.94</v>
      </c>
      <c r="J7" s="42">
        <v>102.42863309352499</v>
      </c>
      <c r="K7" s="42">
        <v>107</v>
      </c>
      <c r="L7" s="46">
        <v>87</v>
      </c>
      <c r="M7" s="43">
        <v>-1529</v>
      </c>
      <c r="N7" s="43">
        <v>-1403066</v>
      </c>
    </row>
    <row r="8" spans="1:14" x14ac:dyDescent="0.25">
      <c r="A8" s="38" t="s">
        <v>80</v>
      </c>
      <c r="B8" s="44" t="s">
        <v>315</v>
      </c>
      <c r="C8" s="39" t="s">
        <v>16</v>
      </c>
      <c r="D8" s="39" t="s">
        <v>17</v>
      </c>
      <c r="E8" s="45" t="s">
        <v>18</v>
      </c>
      <c r="F8" s="47">
        <v>-25893</v>
      </c>
      <c r="G8" s="41">
        <v>1</v>
      </c>
      <c r="H8" s="45">
        <v>141</v>
      </c>
      <c r="I8" s="42">
        <v>26.7</v>
      </c>
      <c r="J8" s="42">
        <v>22.8490325570618</v>
      </c>
      <c r="K8" s="42"/>
      <c r="L8" s="46"/>
      <c r="M8" s="43">
        <v>-7767.9</v>
      </c>
      <c r="N8" s="43">
        <v>-691343.1</v>
      </c>
    </row>
    <row r="9" spans="1:14" x14ac:dyDescent="0.25">
      <c r="A9" s="38" t="s">
        <v>81</v>
      </c>
      <c r="B9" s="44" t="s">
        <v>316</v>
      </c>
      <c r="C9" s="39" t="s">
        <v>16</v>
      </c>
      <c r="D9" s="39" t="s">
        <v>17</v>
      </c>
      <c r="E9" s="45" t="s">
        <v>47</v>
      </c>
      <c r="F9" s="47">
        <v>-10000</v>
      </c>
      <c r="G9" s="41">
        <v>0.4</v>
      </c>
      <c r="H9" s="45">
        <v>85</v>
      </c>
      <c r="I9" s="42">
        <v>32.11</v>
      </c>
      <c r="J9" s="42">
        <v>22.949960000000001</v>
      </c>
      <c r="K9" s="42"/>
      <c r="L9" s="46"/>
      <c r="M9" s="43">
        <v>2600</v>
      </c>
      <c r="N9" s="43">
        <v>-321100</v>
      </c>
    </row>
    <row r="10" spans="1:14" x14ac:dyDescent="0.25">
      <c r="A10" s="38" t="s">
        <v>82</v>
      </c>
      <c r="B10" s="44" t="s">
        <v>317</v>
      </c>
      <c r="C10" s="39" t="s">
        <v>16</v>
      </c>
      <c r="D10" s="39" t="s">
        <v>25</v>
      </c>
      <c r="E10" s="45" t="s">
        <v>31</v>
      </c>
      <c r="F10" s="47">
        <v>-2500</v>
      </c>
      <c r="G10" s="41">
        <v>0.35714285714285698</v>
      </c>
      <c r="H10" s="45">
        <v>85</v>
      </c>
      <c r="I10" s="42">
        <v>257.10998999999998</v>
      </c>
      <c r="J10" s="42">
        <v>226.736285714286</v>
      </c>
      <c r="K10" s="42"/>
      <c r="L10" s="46"/>
      <c r="M10" s="43">
        <v>13000</v>
      </c>
      <c r="N10" s="43">
        <v>-642774.97499999998</v>
      </c>
    </row>
    <row r="11" spans="1:14" x14ac:dyDescent="0.25">
      <c r="A11" s="38" t="s">
        <v>83</v>
      </c>
      <c r="B11" s="44" t="s">
        <v>318</v>
      </c>
      <c r="C11" s="39" t="s">
        <v>16</v>
      </c>
      <c r="D11" s="39" t="s">
        <v>17</v>
      </c>
      <c r="E11" s="45" t="s">
        <v>22</v>
      </c>
      <c r="F11" s="47">
        <v>-200000</v>
      </c>
      <c r="G11" s="41">
        <v>1</v>
      </c>
      <c r="H11" s="45">
        <v>150</v>
      </c>
      <c r="I11" s="42">
        <v>2.95</v>
      </c>
      <c r="J11" s="42">
        <v>4.6822900000000001</v>
      </c>
      <c r="K11" s="42">
        <v>13.5</v>
      </c>
      <c r="L11" s="46">
        <v>18</v>
      </c>
      <c r="M11" s="43">
        <v>-74000</v>
      </c>
      <c r="N11" s="43">
        <v>-590000</v>
      </c>
    </row>
    <row r="12" spans="1:14" x14ac:dyDescent="0.25">
      <c r="A12" s="38" t="s">
        <v>61</v>
      </c>
      <c r="B12" s="44" t="s">
        <v>319</v>
      </c>
      <c r="C12" s="39" t="s">
        <v>16</v>
      </c>
      <c r="D12" s="39" t="s">
        <v>25</v>
      </c>
      <c r="E12" s="45" t="s">
        <v>31</v>
      </c>
      <c r="F12" s="47">
        <v>-15000</v>
      </c>
      <c r="G12" s="41">
        <v>1</v>
      </c>
      <c r="H12" s="45">
        <v>2</v>
      </c>
      <c r="I12" s="42">
        <v>26.72</v>
      </c>
      <c r="J12" s="42">
        <v>28.231000000000002</v>
      </c>
      <c r="K12" s="42">
        <v>13.75</v>
      </c>
      <c r="L12" s="46">
        <v>16.8</v>
      </c>
      <c r="M12" s="43">
        <v>-2100</v>
      </c>
      <c r="N12" s="43">
        <v>-400800</v>
      </c>
    </row>
    <row r="13" spans="1:14" x14ac:dyDescent="0.25">
      <c r="A13" s="38" t="s">
        <v>84</v>
      </c>
      <c r="B13" s="44" t="s">
        <v>320</v>
      </c>
      <c r="C13" s="39" t="s">
        <v>16</v>
      </c>
      <c r="D13" s="39" t="s">
        <v>25</v>
      </c>
      <c r="E13" s="45" t="s">
        <v>33</v>
      </c>
      <c r="F13" s="47">
        <v>-4000</v>
      </c>
      <c r="G13" s="41">
        <v>1</v>
      </c>
      <c r="H13" s="45">
        <v>73</v>
      </c>
      <c r="I13" s="42">
        <v>347.51</v>
      </c>
      <c r="J13" s="42">
        <v>325.005</v>
      </c>
      <c r="K13" s="42">
        <v>330</v>
      </c>
      <c r="L13" s="46">
        <v>210</v>
      </c>
      <c r="M13" s="43">
        <v>58840</v>
      </c>
      <c r="N13" s="43">
        <v>-1390040</v>
      </c>
    </row>
    <row r="14" spans="1:14" x14ac:dyDescent="0.25">
      <c r="A14" s="38" t="s">
        <v>85</v>
      </c>
      <c r="B14" s="44" t="s">
        <v>321</v>
      </c>
      <c r="C14" s="39" t="s">
        <v>16</v>
      </c>
      <c r="D14" s="39" t="s">
        <v>17</v>
      </c>
      <c r="E14" s="45" t="s">
        <v>47</v>
      </c>
      <c r="F14" s="47">
        <v>-10000</v>
      </c>
      <c r="G14" s="41">
        <v>0.25</v>
      </c>
      <c r="H14" s="45">
        <v>112</v>
      </c>
      <c r="I14" s="42">
        <v>40.49</v>
      </c>
      <c r="J14" s="42">
        <v>28.460149999999999</v>
      </c>
      <c r="K14" s="42"/>
      <c r="L14" s="46"/>
      <c r="M14" s="43">
        <v>-4200</v>
      </c>
      <c r="N14" s="43">
        <v>-404900</v>
      </c>
    </row>
    <row r="15" spans="1:14" x14ac:dyDescent="0.25">
      <c r="A15" s="38" t="s">
        <v>86</v>
      </c>
      <c r="B15" s="44" t="s">
        <v>322</v>
      </c>
      <c r="C15" s="39" t="s">
        <v>16</v>
      </c>
      <c r="D15" s="39" t="s">
        <v>25</v>
      </c>
      <c r="E15" s="45" t="s">
        <v>31</v>
      </c>
      <c r="F15" s="47">
        <v>-25000</v>
      </c>
      <c r="G15" s="41">
        <v>0.5</v>
      </c>
      <c r="H15" s="45">
        <v>85</v>
      </c>
      <c r="I15" s="42">
        <v>39.699999333333302</v>
      </c>
      <c r="J15" s="42">
        <v>42.889240000000001</v>
      </c>
      <c r="K15" s="42">
        <v>9</v>
      </c>
      <c r="L15" s="46">
        <v>10</v>
      </c>
      <c r="M15" s="43">
        <v>0</v>
      </c>
      <c r="N15" s="43">
        <v>-992499.98333333305</v>
      </c>
    </row>
    <row r="16" spans="1:14" x14ac:dyDescent="0.25">
      <c r="A16" s="38" t="s">
        <v>323</v>
      </c>
      <c r="B16" s="44" t="s">
        <v>324</v>
      </c>
      <c r="C16" s="39" t="s">
        <v>16</v>
      </c>
      <c r="D16" s="39" t="s">
        <v>25</v>
      </c>
      <c r="E16" s="45" t="s">
        <v>31</v>
      </c>
      <c r="F16" s="47">
        <v>-20000</v>
      </c>
      <c r="G16" s="41">
        <v>0.57142857142857095</v>
      </c>
      <c r="H16" s="45">
        <v>15</v>
      </c>
      <c r="I16" s="42">
        <v>24.3</v>
      </c>
      <c r="J16" s="42">
        <v>24.4100857142857</v>
      </c>
      <c r="K16" s="42"/>
      <c r="L16" s="46"/>
      <c r="M16" s="43">
        <v>5000</v>
      </c>
      <c r="N16" s="43">
        <v>-486000</v>
      </c>
    </row>
    <row r="17" spans="1:14" x14ac:dyDescent="0.25">
      <c r="A17" s="38" t="s">
        <v>325</v>
      </c>
      <c r="B17" s="44" t="s">
        <v>326</v>
      </c>
      <c r="C17" s="39" t="s">
        <v>16</v>
      </c>
      <c r="D17" s="39" t="s">
        <v>25</v>
      </c>
      <c r="E17" s="45" t="s">
        <v>31</v>
      </c>
      <c r="F17" s="47">
        <v>-15000</v>
      </c>
      <c r="G17" s="41">
        <v>0.42857142857142899</v>
      </c>
      <c r="H17" s="45">
        <v>9</v>
      </c>
      <c r="I17" s="42">
        <v>35.21</v>
      </c>
      <c r="J17" s="42">
        <v>38.939485714285702</v>
      </c>
      <c r="K17" s="42">
        <v>14.4</v>
      </c>
      <c r="L17" s="46">
        <v>17.600000000000001</v>
      </c>
      <c r="M17" s="43">
        <v>40125</v>
      </c>
      <c r="N17" s="43">
        <v>-528150</v>
      </c>
    </row>
    <row r="18" spans="1:14" x14ac:dyDescent="0.25">
      <c r="A18" s="38" t="s">
        <v>76</v>
      </c>
      <c r="B18" s="44" t="s">
        <v>327</v>
      </c>
      <c r="C18" s="39" t="s">
        <v>16</v>
      </c>
      <c r="D18" s="39" t="s">
        <v>25</v>
      </c>
      <c r="E18" s="45" t="s">
        <v>31</v>
      </c>
      <c r="F18" s="47">
        <v>-22000</v>
      </c>
      <c r="G18" s="41">
        <v>1</v>
      </c>
      <c r="H18" s="45">
        <v>15</v>
      </c>
      <c r="I18" s="42">
        <v>29.19</v>
      </c>
      <c r="J18" s="42">
        <v>28.114727272727301</v>
      </c>
      <c r="K18" s="42">
        <v>32</v>
      </c>
      <c r="L18" s="46">
        <v>27</v>
      </c>
      <c r="M18" s="43">
        <v>62040</v>
      </c>
      <c r="N18" s="43">
        <v>-642180</v>
      </c>
    </row>
    <row r="19" spans="1:14" x14ac:dyDescent="0.25">
      <c r="A19" s="38" t="s">
        <v>87</v>
      </c>
      <c r="B19" s="44" t="s">
        <v>328</v>
      </c>
      <c r="C19" s="39" t="s">
        <v>329</v>
      </c>
      <c r="D19" s="39"/>
      <c r="E19" s="45"/>
      <c r="F19" s="47">
        <v>-469368</v>
      </c>
      <c r="G19" s="41"/>
      <c r="H19" s="45">
        <v>0</v>
      </c>
      <c r="I19" s="42">
        <v>274.24</v>
      </c>
      <c r="J19" s="42"/>
      <c r="K19" s="42"/>
      <c r="L19" s="46"/>
      <c r="M19" s="43">
        <v>775661.85</v>
      </c>
      <c r="N19" s="43">
        <v>-128719480.31999999</v>
      </c>
    </row>
    <row r="20" spans="1:14" x14ac:dyDescent="0.25">
      <c r="A20" s="38" t="s">
        <v>88</v>
      </c>
      <c r="B20" s="44" t="s">
        <v>330</v>
      </c>
      <c r="C20" s="39" t="s">
        <v>329</v>
      </c>
      <c r="D20" s="39"/>
      <c r="E20" s="45"/>
      <c r="F20" s="47">
        <v>-434342</v>
      </c>
      <c r="G20" s="41"/>
      <c r="H20" s="45">
        <v>0</v>
      </c>
      <c r="I20" s="42">
        <v>99.059999904285704</v>
      </c>
      <c r="J20" s="42">
        <v>99.342507770918502</v>
      </c>
      <c r="K20" s="42">
        <v>100</v>
      </c>
      <c r="L20" s="46">
        <v>25</v>
      </c>
      <c r="M20" s="43">
        <v>742882.82019999996</v>
      </c>
      <c r="N20" s="43">
        <v>-43025918.478427298</v>
      </c>
    </row>
    <row r="21" spans="1:14" x14ac:dyDescent="0.25">
      <c r="A21" s="38" t="s">
        <v>89</v>
      </c>
      <c r="B21" s="44" t="s">
        <v>331</v>
      </c>
      <c r="C21" s="39" t="s">
        <v>329</v>
      </c>
      <c r="D21" s="39"/>
      <c r="E21" s="45"/>
      <c r="F21" s="47">
        <v>-109553</v>
      </c>
      <c r="G21" s="41"/>
      <c r="H21" s="45">
        <v>0</v>
      </c>
      <c r="I21" s="42">
        <v>73.680000000000007</v>
      </c>
      <c r="J21" s="42">
        <v>73.460544171892295</v>
      </c>
      <c r="K21" s="42"/>
      <c r="L21" s="46"/>
      <c r="M21" s="43">
        <v>88127.794999999096</v>
      </c>
      <c r="N21" s="43">
        <v>-8071865.04</v>
      </c>
    </row>
    <row r="24" spans="1:14" x14ac:dyDescent="0.25">
      <c r="A24" s="48" t="s">
        <v>379</v>
      </c>
    </row>
    <row r="25" spans="1:14" x14ac:dyDescent="0.25">
      <c r="A25" s="48" t="s">
        <v>393</v>
      </c>
    </row>
    <row r="26" spans="1:14" x14ac:dyDescent="0.25">
      <c r="A26" s="48" t="s">
        <v>384</v>
      </c>
    </row>
    <row r="27" spans="1:14" x14ac:dyDescent="0.25">
      <c r="A27" s="48" t="s">
        <v>385</v>
      </c>
    </row>
    <row r="28" spans="1:14" x14ac:dyDescent="0.25">
      <c r="A28" s="48" t="s">
        <v>386</v>
      </c>
    </row>
    <row r="29" spans="1:14" x14ac:dyDescent="0.25">
      <c r="A29" s="48" t="s">
        <v>387</v>
      </c>
    </row>
    <row r="30" spans="1:14" x14ac:dyDescent="0.25">
      <c r="A30" s="48" t="s">
        <v>388</v>
      </c>
    </row>
  </sheetData>
  <mergeCells count="2">
    <mergeCell ref="A1:N1"/>
    <mergeCell ref="A3:N3"/>
  </mergeCells>
  <conditionalFormatting sqref="A4:N5">
    <cfRule type="expression" dxfId="3" priority="41">
      <formula>MOD(ROW(),2)=0</formula>
    </cfRule>
  </conditionalFormatting>
  <conditionalFormatting sqref="A6:N21">
    <cfRule type="expression" dxfId="2" priority="1">
      <formula>MOD(ROW(),2)=0</formula>
    </cfRule>
  </conditionalFormatting>
  <pageMargins left="0.25" right="0.25" top="0.75" bottom="0.75" header="0.3" footer="0.3"/>
  <pageSetup scale="58" fitToHeight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12543-1EB8-4F9C-B2C2-2DCA73A7D4CB}">
  <sheetPr codeName="Sheet16">
    <pageSetUpPr fitToPage="1"/>
  </sheetPr>
  <dimension ref="A1:H65"/>
  <sheetViews>
    <sheetView showGridLines="0" view="pageBreakPreview" zoomScaleNormal="100" zoomScaleSheetLayoutView="100" workbookViewId="0">
      <selection activeCell="L47" sqref="L47"/>
    </sheetView>
  </sheetViews>
  <sheetFormatPr defaultRowHeight="15" x14ac:dyDescent="0.25"/>
  <cols>
    <col min="2" max="2" width="27.85546875" bestFit="1" customWidth="1"/>
    <col min="3" max="3" width="11.28515625" customWidth="1"/>
    <col min="4" max="4" width="10.7109375" customWidth="1"/>
    <col min="5" max="5" width="19.85546875" customWidth="1"/>
    <col min="6" max="6" width="16.5703125" customWidth="1"/>
    <col min="7" max="7" width="20.28515625" customWidth="1"/>
    <col min="8" max="8" width="31.42578125" customWidth="1"/>
  </cols>
  <sheetData>
    <row r="1" spans="1:8" ht="26.25" x14ac:dyDescent="0.25">
      <c r="A1" s="71" t="str">
        <f ca="1">"Trades in US on "&amp;TEXT(WORKDAY(TODAY(),-1),"mm-dd-yyyy")</f>
        <v>Trades in US on 06-26-2018</v>
      </c>
      <c r="B1" s="71"/>
      <c r="C1" s="71"/>
      <c r="D1" s="71"/>
      <c r="E1" s="71"/>
      <c r="F1" s="71"/>
      <c r="G1" s="71"/>
      <c r="H1" s="71"/>
    </row>
    <row r="2" spans="1:8" ht="25.5" x14ac:dyDescent="0.25">
      <c r="A2" s="20" t="s">
        <v>0</v>
      </c>
      <c r="B2" s="20" t="s">
        <v>1</v>
      </c>
      <c r="C2" s="20" t="s">
        <v>3</v>
      </c>
      <c r="D2" s="20" t="s">
        <v>90</v>
      </c>
      <c r="E2" s="20" t="s">
        <v>91</v>
      </c>
      <c r="F2" s="20" t="s">
        <v>92</v>
      </c>
      <c r="G2" s="20" t="s">
        <v>8</v>
      </c>
      <c r="H2" s="20" t="s">
        <v>93</v>
      </c>
    </row>
    <row r="3" spans="1:8" ht="15.75" x14ac:dyDescent="0.25">
      <c r="A3" s="74" t="s">
        <v>94</v>
      </c>
      <c r="B3" s="74"/>
      <c r="C3" s="74"/>
      <c r="D3" s="74"/>
      <c r="E3" s="74"/>
      <c r="F3" s="74"/>
      <c r="G3" s="74"/>
      <c r="H3" s="74"/>
    </row>
    <row r="4" spans="1:8" x14ac:dyDescent="0.25">
      <c r="A4" s="35" t="s">
        <v>424</v>
      </c>
      <c r="B4" s="35" t="s">
        <v>425</v>
      </c>
      <c r="C4" s="35" t="s">
        <v>21</v>
      </c>
      <c r="D4" s="34">
        <v>160000</v>
      </c>
      <c r="E4" s="34">
        <v>2627028.5</v>
      </c>
      <c r="F4" s="36">
        <v>16.418928125000001</v>
      </c>
      <c r="G4" s="36">
        <v>20.2</v>
      </c>
      <c r="H4" s="34">
        <v>160000</v>
      </c>
    </row>
    <row r="5" spans="1:8" x14ac:dyDescent="0.25">
      <c r="A5" s="35" t="s">
        <v>426</v>
      </c>
      <c r="B5" s="35" t="s">
        <v>427</v>
      </c>
      <c r="C5" s="35" t="s">
        <v>21</v>
      </c>
      <c r="D5" s="34">
        <v>105000</v>
      </c>
      <c r="E5" s="34">
        <v>2763360.5</v>
      </c>
      <c r="F5" s="36">
        <v>26.317719047619001</v>
      </c>
      <c r="G5" s="36">
        <v>31.2</v>
      </c>
      <c r="H5" s="34">
        <v>105000</v>
      </c>
    </row>
    <row r="6" spans="1:8" x14ac:dyDescent="0.25">
      <c r="A6" s="35" t="s">
        <v>428</v>
      </c>
      <c r="B6" s="35" t="s">
        <v>429</v>
      </c>
      <c r="C6" s="35" t="s">
        <v>17</v>
      </c>
      <c r="D6" s="34">
        <v>124400</v>
      </c>
      <c r="E6" s="34">
        <v>3520520</v>
      </c>
      <c r="F6" s="36">
        <v>28.3</v>
      </c>
      <c r="G6" s="36">
        <v>27.89</v>
      </c>
      <c r="H6" s="34">
        <v>124400</v>
      </c>
    </row>
    <row r="7" spans="1:8" x14ac:dyDescent="0.25">
      <c r="A7" s="35" t="s">
        <v>430</v>
      </c>
      <c r="B7" s="35" t="s">
        <v>431</v>
      </c>
      <c r="C7" s="35" t="s">
        <v>25</v>
      </c>
      <c r="D7" s="34">
        <v>502500</v>
      </c>
      <c r="E7" s="34">
        <v>6963860</v>
      </c>
      <c r="F7" s="36">
        <v>13.8584278606965</v>
      </c>
      <c r="G7" s="36">
        <v>13.64</v>
      </c>
      <c r="H7" s="34">
        <v>502500</v>
      </c>
    </row>
    <row r="8" spans="1:8" x14ac:dyDescent="0.25">
      <c r="A8" s="35" t="s">
        <v>333</v>
      </c>
      <c r="B8" s="35" t="s">
        <v>334</v>
      </c>
      <c r="C8" s="35" t="s">
        <v>25</v>
      </c>
      <c r="D8" s="34">
        <v>90000</v>
      </c>
      <c r="E8" s="34">
        <v>4835989</v>
      </c>
      <c r="F8" s="36">
        <v>53.733211111111103</v>
      </c>
      <c r="G8" s="36">
        <v>56.04</v>
      </c>
      <c r="H8" s="34">
        <v>115000</v>
      </c>
    </row>
    <row r="9" spans="1:8" x14ac:dyDescent="0.25">
      <c r="A9" s="35" t="s">
        <v>432</v>
      </c>
      <c r="B9" s="35" t="s">
        <v>433</v>
      </c>
      <c r="C9" s="35" t="s">
        <v>25</v>
      </c>
      <c r="D9" s="34">
        <v>300000</v>
      </c>
      <c r="E9" s="34">
        <v>18903390</v>
      </c>
      <c r="F9" s="36">
        <v>63.011299999999999</v>
      </c>
      <c r="G9" s="36">
        <v>62.15</v>
      </c>
      <c r="H9" s="34">
        <v>300000</v>
      </c>
    </row>
    <row r="10" spans="1:8" x14ac:dyDescent="0.25">
      <c r="A10" s="35" t="s">
        <v>434</v>
      </c>
      <c r="B10" s="35" t="s">
        <v>435</v>
      </c>
      <c r="C10" s="35" t="s">
        <v>25</v>
      </c>
      <c r="D10" s="34">
        <v>70000</v>
      </c>
      <c r="E10" s="34">
        <v>1014300</v>
      </c>
      <c r="F10" s="36">
        <v>14.49</v>
      </c>
      <c r="G10" s="36">
        <v>18.350000000000001</v>
      </c>
      <c r="H10" s="34">
        <v>70000</v>
      </c>
    </row>
    <row r="11" spans="1:8" x14ac:dyDescent="0.25">
      <c r="A11" s="35" t="s">
        <v>436</v>
      </c>
      <c r="B11" s="35" t="s">
        <v>437</v>
      </c>
      <c r="C11" s="35" t="s">
        <v>21</v>
      </c>
      <c r="D11" s="34">
        <v>100000</v>
      </c>
      <c r="E11" s="34">
        <v>1693550</v>
      </c>
      <c r="F11" s="36">
        <v>16.935500000000001</v>
      </c>
      <c r="G11" s="36">
        <v>17.75</v>
      </c>
      <c r="H11" s="34">
        <v>100000</v>
      </c>
    </row>
    <row r="12" spans="1:8" x14ac:dyDescent="0.25">
      <c r="A12" s="35" t="s">
        <v>438</v>
      </c>
      <c r="B12" s="35" t="s">
        <v>413</v>
      </c>
      <c r="C12" s="35" t="s">
        <v>17</v>
      </c>
      <c r="D12" s="34">
        <v>125000</v>
      </c>
      <c r="E12" s="34">
        <v>2750000</v>
      </c>
      <c r="F12" s="36">
        <v>22</v>
      </c>
      <c r="G12" s="36">
        <v>25.63</v>
      </c>
      <c r="H12" s="34">
        <v>70851</v>
      </c>
    </row>
    <row r="13" spans="1:8" x14ac:dyDescent="0.25">
      <c r="A13" s="35" t="s">
        <v>439</v>
      </c>
      <c r="B13" s="35" t="s">
        <v>440</v>
      </c>
      <c r="C13" s="35" t="s">
        <v>21</v>
      </c>
      <c r="D13" s="34">
        <v>137500</v>
      </c>
      <c r="E13" s="34">
        <v>2083868</v>
      </c>
      <c r="F13" s="36">
        <v>15.1554036363636</v>
      </c>
      <c r="G13" s="36">
        <v>14.52</v>
      </c>
      <c r="H13" s="34">
        <v>137500</v>
      </c>
    </row>
    <row r="14" spans="1:8" x14ac:dyDescent="0.25">
      <c r="A14" s="35" t="s">
        <v>441</v>
      </c>
      <c r="B14" s="35" t="s">
        <v>442</v>
      </c>
      <c r="C14" s="35" t="s">
        <v>21</v>
      </c>
      <c r="D14" s="34">
        <v>90779</v>
      </c>
      <c r="E14" s="34">
        <v>1347582.9018000001</v>
      </c>
      <c r="F14" s="36">
        <v>14.844654620562</v>
      </c>
      <c r="G14" s="36">
        <v>14.93</v>
      </c>
      <c r="H14" s="34">
        <v>90779</v>
      </c>
    </row>
    <row r="15" spans="1:8" x14ac:dyDescent="0.25">
      <c r="A15" s="35" t="s">
        <v>335</v>
      </c>
      <c r="B15" s="35" t="s">
        <v>336</v>
      </c>
      <c r="C15" s="35" t="s">
        <v>25</v>
      </c>
      <c r="D15" s="34">
        <v>24100</v>
      </c>
      <c r="E15" s="34">
        <v>684145.49</v>
      </c>
      <c r="F15" s="36">
        <v>28.387779668049799</v>
      </c>
      <c r="G15" s="36">
        <v>29.43</v>
      </c>
      <c r="H15" s="34">
        <v>64100</v>
      </c>
    </row>
    <row r="16" spans="1:8" x14ac:dyDescent="0.25">
      <c r="A16" s="35" t="s">
        <v>443</v>
      </c>
      <c r="B16" s="35" t="s">
        <v>444</v>
      </c>
      <c r="C16" s="35" t="s">
        <v>21</v>
      </c>
      <c r="D16" s="34">
        <v>90000</v>
      </c>
      <c r="E16" s="34">
        <v>2420847.75</v>
      </c>
      <c r="F16" s="36">
        <v>26.898308333333301</v>
      </c>
      <c r="G16" s="36">
        <v>32.909999999999997</v>
      </c>
      <c r="H16" s="34">
        <v>115000</v>
      </c>
    </row>
    <row r="17" spans="1:8" x14ac:dyDescent="0.25">
      <c r="A17" s="35" t="s">
        <v>445</v>
      </c>
      <c r="B17" s="35" t="s">
        <v>446</v>
      </c>
      <c r="C17" s="35" t="s">
        <v>25</v>
      </c>
      <c r="D17" s="34">
        <v>40000</v>
      </c>
      <c r="E17" s="34">
        <v>720000</v>
      </c>
      <c r="F17" s="36">
        <v>18</v>
      </c>
      <c r="G17" s="36">
        <v>17.989999999999998</v>
      </c>
      <c r="H17" s="34">
        <v>22672</v>
      </c>
    </row>
    <row r="18" spans="1:8" x14ac:dyDescent="0.25">
      <c r="A18" s="35" t="s">
        <v>447</v>
      </c>
      <c r="B18" s="35" t="s">
        <v>448</v>
      </c>
      <c r="C18" s="35" t="s">
        <v>21</v>
      </c>
      <c r="D18" s="34">
        <v>162019</v>
      </c>
      <c r="E18" s="34">
        <v>2567201.0543999998</v>
      </c>
      <c r="F18" s="36">
        <v>15.8450617174529</v>
      </c>
      <c r="G18" s="36">
        <v>20.22</v>
      </c>
      <c r="H18" s="34">
        <v>162019</v>
      </c>
    </row>
    <row r="21" spans="1:8" ht="25.5" x14ac:dyDescent="0.25">
      <c r="A21" s="20" t="s">
        <v>0</v>
      </c>
      <c r="B21" s="20" t="s">
        <v>1</v>
      </c>
      <c r="C21" s="20" t="s">
        <v>3</v>
      </c>
      <c r="D21" s="20" t="s">
        <v>95</v>
      </c>
      <c r="E21" s="20" t="s">
        <v>91</v>
      </c>
      <c r="F21" s="20" t="s">
        <v>96</v>
      </c>
      <c r="G21" s="20" t="s">
        <v>8</v>
      </c>
      <c r="H21" s="20" t="s">
        <v>93</v>
      </c>
    </row>
    <row r="22" spans="1:8" ht="15.75" x14ac:dyDescent="0.25">
      <c r="A22" s="74" t="s">
        <v>97</v>
      </c>
      <c r="B22" s="74"/>
      <c r="C22" s="74"/>
      <c r="D22" s="74"/>
      <c r="E22" s="74"/>
      <c r="F22" s="74"/>
      <c r="G22" s="74"/>
      <c r="H22" s="74"/>
    </row>
    <row r="23" spans="1:8" x14ac:dyDescent="0.25">
      <c r="A23" s="35" t="s">
        <v>449</v>
      </c>
      <c r="B23" s="35" t="s">
        <v>450</v>
      </c>
      <c r="C23" s="35" t="s">
        <v>337</v>
      </c>
      <c r="D23" s="34">
        <v>20000</v>
      </c>
      <c r="E23" s="34">
        <v>1115977.48</v>
      </c>
      <c r="F23" s="36">
        <v>55.798873999999998</v>
      </c>
      <c r="G23" s="36">
        <v>51.04</v>
      </c>
      <c r="H23" s="34">
        <v>80000</v>
      </c>
    </row>
    <row r="24" spans="1:8" x14ac:dyDescent="0.25">
      <c r="A24" s="35" t="s">
        <v>339</v>
      </c>
      <c r="B24" s="35" t="s">
        <v>340</v>
      </c>
      <c r="C24" s="35" t="s">
        <v>237</v>
      </c>
      <c r="D24" s="34">
        <v>25000</v>
      </c>
      <c r="E24" s="34">
        <v>528395.62</v>
      </c>
      <c r="F24" s="36">
        <v>21.135824800000002</v>
      </c>
      <c r="G24" s="36">
        <v>21.17</v>
      </c>
      <c r="H24" s="34">
        <v>120000</v>
      </c>
    </row>
    <row r="25" spans="1:8" x14ac:dyDescent="0.25">
      <c r="A25" s="35" t="s">
        <v>341</v>
      </c>
      <c r="B25" s="35" t="s">
        <v>342</v>
      </c>
      <c r="C25" s="35" t="s">
        <v>237</v>
      </c>
      <c r="D25" s="34">
        <v>25000</v>
      </c>
      <c r="E25" s="34">
        <v>562890.16</v>
      </c>
      <c r="F25" s="36">
        <v>22.515606399999999</v>
      </c>
      <c r="G25" s="36"/>
      <c r="H25" s="34">
        <v>0</v>
      </c>
    </row>
    <row r="26" spans="1:8" x14ac:dyDescent="0.25">
      <c r="A26" s="35" t="s">
        <v>451</v>
      </c>
      <c r="B26" s="35" t="s">
        <v>452</v>
      </c>
      <c r="C26" s="35" t="s">
        <v>237</v>
      </c>
      <c r="D26" s="34">
        <v>25000</v>
      </c>
      <c r="E26" s="34">
        <v>976317.29</v>
      </c>
      <c r="F26" s="36">
        <v>39.052691600000003</v>
      </c>
      <c r="G26" s="36">
        <v>39.29</v>
      </c>
      <c r="H26" s="34">
        <v>50000</v>
      </c>
    </row>
    <row r="27" spans="1:8" x14ac:dyDescent="0.25">
      <c r="A27" s="35" t="s">
        <v>343</v>
      </c>
      <c r="B27" s="35" t="s">
        <v>344</v>
      </c>
      <c r="C27" s="35" t="s">
        <v>17</v>
      </c>
      <c r="D27" s="34">
        <v>15000</v>
      </c>
      <c r="E27" s="34">
        <v>349756.45</v>
      </c>
      <c r="F27" s="36">
        <v>23.3170966666667</v>
      </c>
      <c r="G27" s="36">
        <v>23.2</v>
      </c>
      <c r="H27" s="34">
        <v>40000</v>
      </c>
    </row>
    <row r="28" spans="1:8" x14ac:dyDescent="0.25">
      <c r="A28" s="35" t="s">
        <v>345</v>
      </c>
      <c r="B28" s="35" t="s">
        <v>346</v>
      </c>
      <c r="C28" s="35" t="s">
        <v>21</v>
      </c>
      <c r="D28" s="34">
        <v>5028</v>
      </c>
      <c r="E28" s="34">
        <v>226038.8548</v>
      </c>
      <c r="F28" s="36">
        <v>44.9560172633254</v>
      </c>
      <c r="G28" s="36">
        <v>44.95</v>
      </c>
      <c r="H28" s="34">
        <v>144322</v>
      </c>
    </row>
    <row r="29" spans="1:8" x14ac:dyDescent="0.25">
      <c r="A29" s="35" t="s">
        <v>347</v>
      </c>
      <c r="B29" s="35" t="s">
        <v>348</v>
      </c>
      <c r="C29" s="35" t="s">
        <v>237</v>
      </c>
      <c r="D29" s="34">
        <v>25000</v>
      </c>
      <c r="E29" s="34">
        <v>528903.1</v>
      </c>
      <c r="F29" s="36">
        <v>21.156123999999998</v>
      </c>
      <c r="G29" s="36">
        <v>21.2099993558333</v>
      </c>
      <c r="H29" s="34">
        <v>1883619</v>
      </c>
    </row>
    <row r="30" spans="1:8" x14ac:dyDescent="0.25">
      <c r="A30" s="35" t="s">
        <v>349</v>
      </c>
      <c r="B30" s="35" t="s">
        <v>350</v>
      </c>
      <c r="C30" s="35" t="s">
        <v>337</v>
      </c>
      <c r="D30" s="34">
        <v>65000</v>
      </c>
      <c r="E30" s="34">
        <v>1381712.99</v>
      </c>
      <c r="F30" s="36">
        <v>21.257122923076899</v>
      </c>
      <c r="G30" s="36">
        <v>21.259999968750002</v>
      </c>
      <c r="H30" s="34">
        <v>65000</v>
      </c>
    </row>
    <row r="31" spans="1:8" x14ac:dyDescent="0.25">
      <c r="A31" s="35" t="s">
        <v>351</v>
      </c>
      <c r="B31" s="35" t="s">
        <v>352</v>
      </c>
      <c r="C31" s="35" t="s">
        <v>17</v>
      </c>
      <c r="D31" s="34">
        <v>25000</v>
      </c>
      <c r="E31" s="34">
        <v>1075128.5</v>
      </c>
      <c r="F31" s="36">
        <v>43.005139999999997</v>
      </c>
      <c r="G31" s="36">
        <v>42.440000480000002</v>
      </c>
      <c r="H31" s="34">
        <v>10000</v>
      </c>
    </row>
    <row r="32" spans="1:8" x14ac:dyDescent="0.25">
      <c r="A32" s="35" t="s">
        <v>353</v>
      </c>
      <c r="B32" s="35" t="s">
        <v>354</v>
      </c>
      <c r="C32" s="35" t="s">
        <v>237</v>
      </c>
      <c r="D32" s="34">
        <v>17100</v>
      </c>
      <c r="E32" s="34">
        <v>1282045.55</v>
      </c>
      <c r="F32" s="36">
        <v>74.973423976608203</v>
      </c>
      <c r="G32" s="36">
        <v>73.58</v>
      </c>
      <c r="H32" s="34">
        <v>157032</v>
      </c>
    </row>
    <row r="33" spans="1:8" x14ac:dyDescent="0.25">
      <c r="A33" s="35" t="s">
        <v>355</v>
      </c>
      <c r="B33" s="35" t="s">
        <v>356</v>
      </c>
      <c r="C33" s="35" t="s">
        <v>337</v>
      </c>
      <c r="D33" s="34">
        <v>96153</v>
      </c>
      <c r="E33" s="34">
        <v>2274738.8034000001</v>
      </c>
      <c r="F33" s="36">
        <v>23.657491741287298</v>
      </c>
      <c r="G33" s="36">
        <v>23.69</v>
      </c>
      <c r="H33" s="34">
        <v>674478</v>
      </c>
    </row>
    <row r="34" spans="1:8" x14ac:dyDescent="0.25">
      <c r="A34" s="35" t="s">
        <v>357</v>
      </c>
      <c r="B34" s="35" t="s">
        <v>358</v>
      </c>
      <c r="C34" s="35" t="s">
        <v>21</v>
      </c>
      <c r="D34" s="34">
        <v>15100</v>
      </c>
      <c r="E34" s="34">
        <v>482651.9</v>
      </c>
      <c r="F34" s="36">
        <v>31.963701986755002</v>
      </c>
      <c r="G34" s="36">
        <v>30.99</v>
      </c>
      <c r="H34" s="34">
        <v>16955</v>
      </c>
    </row>
    <row r="35" spans="1:8" x14ac:dyDescent="0.25">
      <c r="A35" s="35" t="s">
        <v>359</v>
      </c>
      <c r="B35" s="35" t="s">
        <v>360</v>
      </c>
      <c r="C35" s="35" t="s">
        <v>237</v>
      </c>
      <c r="D35" s="34">
        <v>19606</v>
      </c>
      <c r="E35" s="34">
        <v>2057968.0056</v>
      </c>
      <c r="F35" s="36">
        <v>104.9662351117</v>
      </c>
      <c r="G35" s="36">
        <v>104.73</v>
      </c>
      <c r="H35" s="34">
        <v>164276</v>
      </c>
    </row>
    <row r="36" spans="1:8" x14ac:dyDescent="0.25">
      <c r="A36" s="35" t="s">
        <v>361</v>
      </c>
      <c r="B36" s="35" t="s">
        <v>362</v>
      </c>
      <c r="C36" s="35" t="s">
        <v>338</v>
      </c>
      <c r="D36" s="34">
        <v>50483</v>
      </c>
      <c r="E36" s="34">
        <v>604495.48320000002</v>
      </c>
      <c r="F36" s="36">
        <v>11.974238519897799</v>
      </c>
      <c r="G36" s="36">
        <v>12</v>
      </c>
      <c r="H36" s="34">
        <v>41717</v>
      </c>
    </row>
    <row r="37" spans="1:8" x14ac:dyDescent="0.25">
      <c r="A37" s="35" t="s">
        <v>453</v>
      </c>
      <c r="B37" s="35" t="s">
        <v>454</v>
      </c>
      <c r="C37" s="35" t="s">
        <v>375</v>
      </c>
      <c r="D37" s="34">
        <v>3000</v>
      </c>
      <c r="E37" s="34">
        <v>962.32</v>
      </c>
      <c r="F37" s="36">
        <v>0.32077333333333302</v>
      </c>
      <c r="G37" s="36"/>
      <c r="H37" s="34"/>
    </row>
    <row r="38" spans="1:8" x14ac:dyDescent="0.25">
      <c r="A38" s="35" t="s">
        <v>455</v>
      </c>
      <c r="B38" s="35" t="s">
        <v>456</v>
      </c>
      <c r="C38" s="35" t="s">
        <v>338</v>
      </c>
      <c r="D38" s="34">
        <v>15041</v>
      </c>
      <c r="E38" s="34">
        <v>194306.1226</v>
      </c>
      <c r="F38" s="36">
        <v>12.9184311282495</v>
      </c>
      <c r="G38" s="36">
        <v>12.79</v>
      </c>
      <c r="H38" s="34">
        <v>84959</v>
      </c>
    </row>
    <row r="39" spans="1:8" x14ac:dyDescent="0.25">
      <c r="A39" s="35" t="s">
        <v>363</v>
      </c>
      <c r="B39" s="35" t="s">
        <v>364</v>
      </c>
      <c r="C39" s="35" t="s">
        <v>237</v>
      </c>
      <c r="D39" s="34">
        <v>15000</v>
      </c>
      <c r="E39" s="34">
        <v>293957.15999999997</v>
      </c>
      <c r="F39" s="36">
        <v>19.597144</v>
      </c>
      <c r="G39" s="36">
        <v>19.400000299999999</v>
      </c>
      <c r="H39" s="34">
        <v>140000</v>
      </c>
    </row>
    <row r="40" spans="1:8" x14ac:dyDescent="0.25">
      <c r="A40" s="35" t="s">
        <v>365</v>
      </c>
      <c r="B40" s="35" t="s">
        <v>366</v>
      </c>
      <c r="C40" s="35" t="s">
        <v>338</v>
      </c>
      <c r="D40" s="34">
        <v>30000</v>
      </c>
      <c r="E40" s="34">
        <v>155796.95000000001</v>
      </c>
      <c r="F40" s="36">
        <v>5.1932316666666702</v>
      </c>
      <c r="G40" s="36">
        <v>5.3</v>
      </c>
      <c r="H40" s="34">
        <v>80000</v>
      </c>
    </row>
    <row r="41" spans="1:8" x14ac:dyDescent="0.25">
      <c r="A41" s="35" t="s">
        <v>367</v>
      </c>
      <c r="B41" s="35" t="s">
        <v>368</v>
      </c>
      <c r="C41" s="35" t="s">
        <v>337</v>
      </c>
      <c r="D41" s="34">
        <v>15557</v>
      </c>
      <c r="E41" s="34">
        <v>372621.08110000001</v>
      </c>
      <c r="F41" s="36">
        <v>23.951988243234599</v>
      </c>
      <c r="G41" s="36">
        <v>24.92</v>
      </c>
      <c r="H41" s="34">
        <v>14880</v>
      </c>
    </row>
    <row r="42" spans="1:8" x14ac:dyDescent="0.25">
      <c r="A42" s="35" t="s">
        <v>369</v>
      </c>
      <c r="B42" s="35" t="s">
        <v>370</v>
      </c>
      <c r="C42" s="35" t="s">
        <v>337</v>
      </c>
      <c r="D42" s="34">
        <v>70000</v>
      </c>
      <c r="E42" s="34">
        <v>3971797.32</v>
      </c>
      <c r="F42" s="36">
        <v>56.739961714285698</v>
      </c>
      <c r="G42" s="36">
        <v>56.35</v>
      </c>
      <c r="H42" s="34">
        <v>83629</v>
      </c>
    </row>
    <row r="43" spans="1:8" x14ac:dyDescent="0.25">
      <c r="A43" s="35" t="s">
        <v>457</v>
      </c>
      <c r="B43" s="35" t="s">
        <v>458</v>
      </c>
      <c r="C43" s="35" t="s">
        <v>17</v>
      </c>
      <c r="D43" s="34">
        <v>40000</v>
      </c>
      <c r="E43" s="34">
        <v>547216.86</v>
      </c>
      <c r="F43" s="36">
        <v>13.6804215</v>
      </c>
      <c r="G43" s="36">
        <v>13.63</v>
      </c>
      <c r="H43" s="34">
        <v>75000</v>
      </c>
    </row>
    <row r="44" spans="1:8" x14ac:dyDescent="0.25">
      <c r="A44" s="35" t="s">
        <v>459</v>
      </c>
      <c r="B44" s="35" t="s">
        <v>460</v>
      </c>
      <c r="C44" s="35" t="s">
        <v>338</v>
      </c>
      <c r="D44" s="34">
        <v>10000</v>
      </c>
      <c r="E44" s="34">
        <v>225545.05</v>
      </c>
      <c r="F44" s="36">
        <v>22.554504999999999</v>
      </c>
      <c r="G44" s="36">
        <v>23.17</v>
      </c>
      <c r="H44" s="34">
        <v>70000</v>
      </c>
    </row>
    <row r="45" spans="1:8" x14ac:dyDescent="0.25">
      <c r="A45" s="35" t="s">
        <v>461</v>
      </c>
      <c r="B45" s="35" t="s">
        <v>462</v>
      </c>
      <c r="C45" s="35" t="s">
        <v>17</v>
      </c>
      <c r="D45" s="34">
        <v>40000</v>
      </c>
      <c r="E45" s="34">
        <v>356427.34</v>
      </c>
      <c r="F45" s="36">
        <v>8.9106834999999993</v>
      </c>
      <c r="G45" s="36">
        <v>8.9</v>
      </c>
      <c r="H45" s="34">
        <v>30000</v>
      </c>
    </row>
    <row r="46" spans="1:8" x14ac:dyDescent="0.25">
      <c r="A46" s="35" t="s">
        <v>371</v>
      </c>
      <c r="B46" s="35" t="s">
        <v>372</v>
      </c>
      <c r="C46" s="35" t="s">
        <v>25</v>
      </c>
      <c r="D46" s="34">
        <v>70000</v>
      </c>
      <c r="E46" s="34">
        <v>965329.41</v>
      </c>
      <c r="F46" s="36">
        <v>13.7904201428571</v>
      </c>
      <c r="G46" s="36">
        <v>13.8</v>
      </c>
      <c r="H46" s="34">
        <v>84055</v>
      </c>
    </row>
    <row r="47" spans="1:8" x14ac:dyDescent="0.25">
      <c r="A47" s="35" t="s">
        <v>463</v>
      </c>
      <c r="B47" s="35" t="s">
        <v>464</v>
      </c>
      <c r="C47" s="35" t="s">
        <v>338</v>
      </c>
      <c r="D47" s="34">
        <v>36259</v>
      </c>
      <c r="E47" s="34">
        <v>405158.01179999998</v>
      </c>
      <c r="F47" s="36">
        <v>11.1739985051987</v>
      </c>
      <c r="G47" s="36">
        <v>10.95</v>
      </c>
      <c r="H47" s="34">
        <v>273741</v>
      </c>
    </row>
    <row r="48" spans="1:8" x14ac:dyDescent="0.25">
      <c r="A48" s="35" t="s">
        <v>373</v>
      </c>
      <c r="B48" s="35" t="s">
        <v>374</v>
      </c>
      <c r="C48" s="35" t="s">
        <v>375</v>
      </c>
      <c r="D48" s="34">
        <v>13500</v>
      </c>
      <c r="E48" s="34">
        <v>66975.23</v>
      </c>
      <c r="F48" s="36">
        <v>4.9611281481481502</v>
      </c>
      <c r="G48" s="36">
        <v>5.059999017</v>
      </c>
      <c r="H48" s="34">
        <v>10173</v>
      </c>
    </row>
    <row r="49" spans="1:8" x14ac:dyDescent="0.25">
      <c r="A49" s="35" t="s">
        <v>376</v>
      </c>
      <c r="B49" s="35" t="s">
        <v>377</v>
      </c>
      <c r="C49" s="35" t="s">
        <v>237</v>
      </c>
      <c r="D49" s="34">
        <v>25000</v>
      </c>
      <c r="E49" s="34">
        <v>737755.39</v>
      </c>
      <c r="F49" s="36">
        <v>29.510215599999999</v>
      </c>
      <c r="G49" s="36">
        <v>29.75</v>
      </c>
      <c r="H49" s="34">
        <v>185000</v>
      </c>
    </row>
    <row r="52" spans="1:8" ht="25.5" x14ac:dyDescent="0.25">
      <c r="A52" s="20" t="s">
        <v>0</v>
      </c>
      <c r="B52" s="20" t="s">
        <v>1</v>
      </c>
      <c r="C52" s="20" t="s">
        <v>3</v>
      </c>
      <c r="D52" s="20" t="s">
        <v>95</v>
      </c>
      <c r="E52" s="20" t="s">
        <v>91</v>
      </c>
      <c r="F52" s="20" t="s">
        <v>96</v>
      </c>
      <c r="G52" s="20" t="s">
        <v>8</v>
      </c>
      <c r="H52" s="20" t="s">
        <v>93</v>
      </c>
    </row>
    <row r="53" spans="1:8" ht="15.75" x14ac:dyDescent="0.25">
      <c r="A53" s="74" t="s">
        <v>99</v>
      </c>
      <c r="B53" s="74"/>
      <c r="C53" s="74"/>
      <c r="D53" s="74"/>
      <c r="E53" s="74"/>
      <c r="F53" s="74"/>
      <c r="G53" s="74"/>
      <c r="H53" s="74"/>
    </row>
    <row r="54" spans="1:8" x14ac:dyDescent="0.25">
      <c r="A54" s="35" t="s">
        <v>465</v>
      </c>
      <c r="B54" s="35" t="s">
        <v>466</v>
      </c>
      <c r="C54" s="35" t="s">
        <v>337</v>
      </c>
      <c r="D54" s="34">
        <v>10000</v>
      </c>
      <c r="E54" s="34">
        <v>280227.34999999998</v>
      </c>
      <c r="F54" s="36">
        <v>28.022735000000001</v>
      </c>
      <c r="G54" s="36">
        <v>26.67</v>
      </c>
      <c r="H54" s="34">
        <v>-10000</v>
      </c>
    </row>
    <row r="57" spans="1:8" ht="25.5" x14ac:dyDescent="0.25">
      <c r="A57" s="20" t="s">
        <v>0</v>
      </c>
      <c r="B57" s="20" t="s">
        <v>1</v>
      </c>
      <c r="C57" s="20" t="s">
        <v>3</v>
      </c>
      <c r="D57" s="20" t="s">
        <v>95</v>
      </c>
      <c r="E57" s="20" t="s">
        <v>91</v>
      </c>
      <c r="F57" s="20" t="s">
        <v>96</v>
      </c>
      <c r="G57" s="20" t="s">
        <v>8</v>
      </c>
      <c r="H57" s="20" t="s">
        <v>93</v>
      </c>
    </row>
    <row r="58" spans="1:8" ht="15.75" x14ac:dyDescent="0.25">
      <c r="A58" s="74" t="s">
        <v>98</v>
      </c>
      <c r="B58" s="74"/>
      <c r="C58" s="74"/>
      <c r="D58" s="74"/>
      <c r="E58" s="74"/>
      <c r="F58" s="74"/>
      <c r="G58" s="74"/>
      <c r="H58" s="74"/>
    </row>
    <row r="61" spans="1:8" x14ac:dyDescent="0.25">
      <c r="A61" s="48" t="s">
        <v>379</v>
      </c>
    </row>
    <row r="62" spans="1:8" x14ac:dyDescent="0.25">
      <c r="A62" s="48" t="s">
        <v>394</v>
      </c>
    </row>
    <row r="63" spans="1:8" x14ac:dyDescent="0.25">
      <c r="A63" s="48" t="s">
        <v>389</v>
      </c>
    </row>
    <row r="64" spans="1:8" x14ac:dyDescent="0.25">
      <c r="A64" s="48" t="s">
        <v>390</v>
      </c>
    </row>
    <row r="65" spans="1:1" x14ac:dyDescent="0.25">
      <c r="A65" s="48" t="s">
        <v>391</v>
      </c>
    </row>
  </sheetData>
  <mergeCells count="5">
    <mergeCell ref="A58:H58"/>
    <mergeCell ref="A53:H53"/>
    <mergeCell ref="A3:H3"/>
    <mergeCell ref="A1:H1"/>
    <mergeCell ref="A22:H22"/>
  </mergeCells>
  <pageMargins left="0.25" right="0.25" top="0.75" bottom="0.75" header="0.3" footer="0.3"/>
  <pageSetup scale="69" fitToHeight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D0A3A-3DAB-4324-8921-ECBCF192F3C4}">
  <sheetPr codeName="Sheet7">
    <pageSetUpPr fitToPage="1"/>
  </sheetPr>
  <dimension ref="A1:G36"/>
  <sheetViews>
    <sheetView view="pageBreakPreview" zoomScale="85" zoomScaleNormal="85" zoomScaleSheetLayoutView="85" workbookViewId="0">
      <selection activeCell="A4" sqref="A4"/>
    </sheetView>
  </sheetViews>
  <sheetFormatPr defaultRowHeight="15" x14ac:dyDescent="0.25"/>
  <cols>
    <col min="1" max="1" width="33.140625" customWidth="1"/>
    <col min="2" max="2" width="13.85546875" bestFit="1" customWidth="1"/>
    <col min="3" max="3" width="16" bestFit="1" customWidth="1"/>
    <col min="4" max="4" width="35.5703125" customWidth="1"/>
    <col min="5" max="5" width="19.85546875" customWidth="1"/>
    <col min="6" max="6" width="14" customWidth="1"/>
    <col min="7" max="7" width="20.28515625" customWidth="1"/>
    <col min="8" max="8" width="13.140625" customWidth="1"/>
  </cols>
  <sheetData>
    <row r="1" spans="1:7" ht="26.25" x14ac:dyDescent="0.25">
      <c r="A1" s="71" t="str">
        <f ca="1">"Exposure Snapshot on "&amp;TEXT(WORKDAY(TODAY(),-1),"mm-dd-yyyy")</f>
        <v>Exposure Snapshot on 06-26-2018</v>
      </c>
      <c r="B1" s="71"/>
      <c r="C1" s="71"/>
      <c r="D1" s="71"/>
      <c r="E1" s="71"/>
      <c r="F1" s="71"/>
      <c r="G1" s="71"/>
    </row>
    <row r="2" spans="1:7" x14ac:dyDescent="0.25">
      <c r="A2" s="2"/>
      <c r="B2" s="2"/>
      <c r="C2" s="2"/>
      <c r="D2" s="2"/>
      <c r="E2" s="2"/>
      <c r="F2" s="2"/>
      <c r="G2" s="2"/>
    </row>
    <row r="3" spans="1:7" ht="15.75" x14ac:dyDescent="0.25">
      <c r="A3" s="75" t="s">
        <v>378</v>
      </c>
      <c r="B3" s="75"/>
      <c r="C3" s="75"/>
      <c r="D3" s="75"/>
      <c r="E3" s="3"/>
      <c r="F3" s="3"/>
      <c r="G3" s="3"/>
    </row>
    <row r="4" spans="1:7" x14ac:dyDescent="0.25">
      <c r="A4" s="33"/>
      <c r="B4" s="35"/>
      <c r="C4" s="35"/>
      <c r="D4" s="34"/>
      <c r="E4" s="3"/>
      <c r="F4" s="3"/>
      <c r="G4" s="3"/>
    </row>
    <row r="5" spans="1:7" ht="30" x14ac:dyDescent="0.25">
      <c r="A5" s="49" t="s">
        <v>4</v>
      </c>
      <c r="B5" s="37" t="s">
        <v>100</v>
      </c>
      <c r="C5" s="37" t="s">
        <v>101</v>
      </c>
      <c r="D5" s="37" t="s">
        <v>102</v>
      </c>
      <c r="E5" s="3"/>
      <c r="F5" s="3"/>
      <c r="G5" s="3"/>
    </row>
    <row r="6" spans="1:7" x14ac:dyDescent="0.25">
      <c r="A6" s="50" t="s">
        <v>103</v>
      </c>
      <c r="B6" s="51">
        <v>31384590</v>
      </c>
      <c r="C6" s="52">
        <v>5.3730980658867798E-2</v>
      </c>
      <c r="D6" s="52">
        <v>6.77652602912725E-2</v>
      </c>
    </row>
    <row r="7" spans="1:7" x14ac:dyDescent="0.25">
      <c r="A7" s="53" t="s">
        <v>105</v>
      </c>
      <c r="B7" s="54">
        <v>43477864.5</v>
      </c>
      <c r="C7" s="55">
        <v>7.4434883378701994E-2</v>
      </c>
      <c r="D7" s="55">
        <v>9.3876925100859293E-2</v>
      </c>
    </row>
    <row r="8" spans="1:7" x14ac:dyDescent="0.25">
      <c r="A8" s="56" t="s">
        <v>106</v>
      </c>
      <c r="B8" s="57">
        <v>114754360.126285</v>
      </c>
      <c r="C8" s="58">
        <v>0.19646152154500601</v>
      </c>
      <c r="D8" s="58">
        <v>0.24777634767623699</v>
      </c>
    </row>
    <row r="9" spans="1:7" x14ac:dyDescent="0.25">
      <c r="A9" s="53" t="s">
        <v>107</v>
      </c>
      <c r="B9" s="54">
        <v>93551974.329999998</v>
      </c>
      <c r="C9" s="55">
        <v>0.16016265700218299</v>
      </c>
      <c r="D9" s="55">
        <v>0.201996390306035</v>
      </c>
    </row>
    <row r="10" spans="1:7" x14ac:dyDescent="0.25">
      <c r="A10" s="56" t="s">
        <v>108</v>
      </c>
      <c r="B10" s="57">
        <v>39615665.229999997</v>
      </c>
      <c r="C10" s="58">
        <v>6.7822728997298104E-2</v>
      </c>
      <c r="D10" s="58">
        <v>8.55377070697073E-2</v>
      </c>
    </row>
    <row r="11" spans="1:7" x14ac:dyDescent="0.25">
      <c r="A11" s="53" t="s">
        <v>109</v>
      </c>
      <c r="B11" s="54">
        <v>108020454.887969</v>
      </c>
      <c r="C11" s="55">
        <v>0.18493295506959201</v>
      </c>
      <c r="D11" s="55">
        <v>0.23323657381743301</v>
      </c>
    </row>
    <row r="12" spans="1:7" x14ac:dyDescent="0.25">
      <c r="A12" s="56" t="s">
        <v>110</v>
      </c>
      <c r="B12" s="57">
        <v>12937502.868000001</v>
      </c>
      <c r="C12" s="58">
        <v>2.2149236818915102E-2</v>
      </c>
      <c r="D12" s="58">
        <v>2.7934513382813199E-2</v>
      </c>
    </row>
    <row r="13" spans="1:7" x14ac:dyDescent="0.25">
      <c r="A13" s="53" t="s">
        <v>111</v>
      </c>
      <c r="B13" s="54">
        <v>5819850</v>
      </c>
      <c r="C13" s="55">
        <v>9.9636875226826894E-3</v>
      </c>
      <c r="D13" s="55">
        <v>1.25661558779695E-2</v>
      </c>
    </row>
    <row r="14" spans="1:7" x14ac:dyDescent="0.25">
      <c r="A14" s="56" t="s">
        <v>112</v>
      </c>
      <c r="B14" s="57">
        <v>4792200</v>
      </c>
      <c r="C14" s="58">
        <v>8.2043323017259792E-3</v>
      </c>
      <c r="D14" s="58">
        <v>1.0347265341616301E-2</v>
      </c>
    </row>
    <row r="15" spans="1:7" x14ac:dyDescent="0.25">
      <c r="A15" s="53" t="s">
        <v>113</v>
      </c>
      <c r="B15" s="54">
        <v>8782400</v>
      </c>
      <c r="C15" s="55">
        <v>1.50356262273441E-2</v>
      </c>
      <c r="D15" s="55">
        <v>1.8962861136056601E-2</v>
      </c>
    </row>
    <row r="16" spans="1:7" x14ac:dyDescent="0.25">
      <c r="A16" s="59" t="s">
        <v>104</v>
      </c>
      <c r="B16" s="60">
        <v>0</v>
      </c>
      <c r="C16" s="61">
        <v>0</v>
      </c>
      <c r="D16" s="61">
        <v>0</v>
      </c>
    </row>
    <row r="18" spans="1:4" ht="15.75" x14ac:dyDescent="0.25">
      <c r="A18" s="75" t="s">
        <v>395</v>
      </c>
      <c r="B18" s="75"/>
      <c r="C18" s="75"/>
      <c r="D18" s="75"/>
    </row>
    <row r="19" spans="1:4" x14ac:dyDescent="0.25">
      <c r="A19" s="36"/>
      <c r="B19" s="34"/>
      <c r="C19" s="35"/>
      <c r="D19" s="35"/>
    </row>
    <row r="20" spans="1:4" ht="30" x14ac:dyDescent="0.25">
      <c r="A20" s="37" t="s">
        <v>0</v>
      </c>
      <c r="B20" s="37" t="s">
        <v>13</v>
      </c>
      <c r="C20" s="37" t="s">
        <v>12</v>
      </c>
      <c r="D20" s="37" t="s">
        <v>114</v>
      </c>
    </row>
    <row r="21" spans="1:4" x14ac:dyDescent="0.25">
      <c r="A21" s="21" t="s">
        <v>180</v>
      </c>
      <c r="B21" s="63">
        <v>39951557.776635401</v>
      </c>
      <c r="C21" s="64">
        <v>151339.56000000099</v>
      </c>
      <c r="D21" s="68">
        <v>2.5909603953027998E-4</v>
      </c>
    </row>
    <row r="22" spans="1:4" x14ac:dyDescent="0.25">
      <c r="A22" s="38" t="s">
        <v>252</v>
      </c>
      <c r="B22" s="40">
        <v>31814180</v>
      </c>
      <c r="C22" s="65">
        <v>122480.000000001</v>
      </c>
      <c r="D22" s="69">
        <v>2.0968795549338701E-4</v>
      </c>
    </row>
    <row r="23" spans="1:4" x14ac:dyDescent="0.25">
      <c r="A23" s="38" t="s">
        <v>406</v>
      </c>
      <c r="B23" s="40">
        <v>18645000</v>
      </c>
      <c r="C23" s="65">
        <v>-258390.00829999999</v>
      </c>
      <c r="D23" s="69">
        <v>-4.4236832593358698E-4</v>
      </c>
    </row>
    <row r="24" spans="1:4" x14ac:dyDescent="0.25">
      <c r="A24" s="38" t="s">
        <v>187</v>
      </c>
      <c r="B24" s="40">
        <v>17865000</v>
      </c>
      <c r="C24" s="65">
        <v>-80000.0000000008</v>
      </c>
      <c r="D24" s="69">
        <v>-1.3696143402572601E-4</v>
      </c>
    </row>
    <row r="25" spans="1:4" x14ac:dyDescent="0.25">
      <c r="A25" s="38" t="s">
        <v>225</v>
      </c>
      <c r="B25" s="40">
        <v>17204625.48</v>
      </c>
      <c r="C25" s="65">
        <v>-157196.3352</v>
      </c>
      <c r="D25" s="69">
        <v>-2.6912294365725602E-4</v>
      </c>
    </row>
    <row r="26" spans="1:4" x14ac:dyDescent="0.25">
      <c r="A26" s="38" t="s">
        <v>207</v>
      </c>
      <c r="B26" s="40">
        <v>15978383.82</v>
      </c>
      <c r="C26" s="65">
        <v>-49376.035599999697</v>
      </c>
      <c r="D26" s="69">
        <v>-8.4532658028515096E-5</v>
      </c>
    </row>
    <row r="27" spans="1:4" x14ac:dyDescent="0.25">
      <c r="A27" s="38" t="s">
        <v>45</v>
      </c>
      <c r="B27" s="40">
        <v>11554414.560000001</v>
      </c>
      <c r="C27" s="65">
        <v>-169466.57320000001</v>
      </c>
      <c r="D27" s="69">
        <v>-2.90129811061218E-4</v>
      </c>
    </row>
    <row r="28" spans="1:4" x14ac:dyDescent="0.25">
      <c r="A28" s="38" t="s">
        <v>60</v>
      </c>
      <c r="B28" s="40">
        <v>10933650</v>
      </c>
      <c r="C28" s="65">
        <v>-72800</v>
      </c>
      <c r="D28" s="69">
        <v>-1.2463490496340999E-4</v>
      </c>
    </row>
    <row r="29" spans="1:4" x14ac:dyDescent="0.25">
      <c r="A29" s="38" t="s">
        <v>213</v>
      </c>
      <c r="B29" s="40">
        <v>10128250</v>
      </c>
      <c r="C29" s="65">
        <v>93499.999999999607</v>
      </c>
      <c r="D29" s="69">
        <v>1.60073676017565E-4</v>
      </c>
    </row>
    <row r="30" spans="1:4" x14ac:dyDescent="0.25">
      <c r="A30" s="62" t="s">
        <v>141</v>
      </c>
      <c r="B30" s="66">
        <v>9002000</v>
      </c>
      <c r="C30" s="67">
        <v>-120000</v>
      </c>
      <c r="D30" s="70">
        <v>-2.0544215103858801E-4</v>
      </c>
    </row>
    <row r="32" spans="1:4" x14ac:dyDescent="0.25">
      <c r="A32" t="s">
        <v>379</v>
      </c>
    </row>
    <row r="33" spans="1:1" x14ac:dyDescent="0.25">
      <c r="A33" t="s">
        <v>380</v>
      </c>
    </row>
    <row r="34" spans="1:1" x14ac:dyDescent="0.25">
      <c r="A34" t="s">
        <v>381</v>
      </c>
    </row>
    <row r="35" spans="1:1" x14ac:dyDescent="0.25">
      <c r="A35" t="s">
        <v>382</v>
      </c>
    </row>
    <row r="36" spans="1:1" x14ac:dyDescent="0.25">
      <c r="A36" t="s">
        <v>383</v>
      </c>
    </row>
  </sheetData>
  <mergeCells count="3">
    <mergeCell ref="A1:G1"/>
    <mergeCell ref="A3:D3"/>
    <mergeCell ref="A18:D18"/>
  </mergeCells>
  <conditionalFormatting sqref="A6:D16">
    <cfRule type="expression" dxfId="1" priority="2">
      <formula>MOD(ROW(),2)=0</formula>
    </cfRule>
  </conditionalFormatting>
  <conditionalFormatting sqref="A21:D30">
    <cfRule type="expression" dxfId="0" priority="1">
      <formula>MOD(ROW(),2)=0</formula>
    </cfRule>
  </conditionalFormatting>
  <pageMargins left="0.25" right="0.25" top="0.75" bottom="0.75" header="0.3" footer="0.3"/>
  <pageSetup scale="66" fitToHeight="0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EB615-70EA-43AA-969A-3CA2488DAB8C}">
  <sheetPr codeName="Sheet3"/>
  <dimension ref="A1:H18"/>
  <sheetViews>
    <sheetView view="pageBreakPreview" zoomScaleNormal="100" zoomScaleSheetLayoutView="100" workbookViewId="0">
      <selection activeCell="A2" sqref="A2"/>
    </sheetView>
  </sheetViews>
  <sheetFormatPr defaultRowHeight="15" x14ac:dyDescent="0.25"/>
  <cols>
    <col min="1" max="1" width="14.85546875" customWidth="1"/>
    <col min="2" max="2" width="30.7109375" customWidth="1"/>
    <col min="3" max="3" width="13.42578125" customWidth="1"/>
    <col min="4" max="4" width="15.5703125" customWidth="1"/>
    <col min="5" max="5" width="13.28515625" customWidth="1"/>
    <col min="6" max="6" width="19.28515625" customWidth="1"/>
    <col min="7" max="7" width="13.28515625" customWidth="1"/>
    <col min="8" max="8" width="16.85546875" customWidth="1"/>
  </cols>
  <sheetData>
    <row r="1" spans="1:8" s="2" customFormat="1" ht="26.25" x14ac:dyDescent="0.25">
      <c r="A1" s="71" t="str">
        <f ca="1">"Trades in US on "&amp;TEXT(WORKDAY(TODAY(),-1),"mm-dd-yyyy")</f>
        <v>Trades in US on 06-26-2018</v>
      </c>
      <c r="B1" s="71"/>
      <c r="C1" s="71"/>
      <c r="D1" s="71"/>
      <c r="E1" s="71"/>
      <c r="F1" s="71"/>
      <c r="G1" s="71"/>
      <c r="H1" s="71"/>
    </row>
    <row r="2" spans="1:8" ht="38.25" x14ac:dyDescent="0.25">
      <c r="A2" s="20" t="s">
        <v>0</v>
      </c>
      <c r="B2" s="20" t="s">
        <v>1</v>
      </c>
      <c r="C2" s="20" t="s">
        <v>3</v>
      </c>
      <c r="D2" s="20" t="s">
        <v>90</v>
      </c>
      <c r="E2" s="20" t="s">
        <v>91</v>
      </c>
      <c r="F2" s="20" t="s">
        <v>92</v>
      </c>
      <c r="G2" s="20" t="s">
        <v>8</v>
      </c>
      <c r="H2" s="20" t="s">
        <v>93</v>
      </c>
    </row>
    <row r="3" spans="1:8" ht="15.75" x14ac:dyDescent="0.25">
      <c r="A3" s="74" t="s">
        <v>94</v>
      </c>
      <c r="B3" s="74"/>
      <c r="C3" s="74"/>
      <c r="D3" s="74"/>
      <c r="E3" s="74"/>
      <c r="F3" s="74"/>
      <c r="G3" s="74"/>
      <c r="H3" s="74"/>
    </row>
    <row r="4" spans="1:8" x14ac:dyDescent="0.25">
      <c r="A4" s="5" t="s">
        <v>424</v>
      </c>
      <c r="B4" s="5" t="s">
        <v>425</v>
      </c>
      <c r="C4" s="5" t="s">
        <v>21</v>
      </c>
      <c r="D4" s="4">
        <v>160000</v>
      </c>
      <c r="E4" s="4">
        <v>2627028.5</v>
      </c>
      <c r="F4" s="6">
        <v>16.418928125000001</v>
      </c>
      <c r="G4" s="6">
        <v>20.2</v>
      </c>
      <c r="H4" s="4">
        <v>160000</v>
      </c>
    </row>
    <row r="5" spans="1:8" x14ac:dyDescent="0.25">
      <c r="A5" s="5" t="s">
        <v>426</v>
      </c>
      <c r="B5" s="5" t="s">
        <v>427</v>
      </c>
      <c r="C5" s="5" t="s">
        <v>21</v>
      </c>
      <c r="D5" s="4">
        <v>105000</v>
      </c>
      <c r="E5" s="4">
        <v>2763360.5</v>
      </c>
      <c r="F5" s="6">
        <v>26.317719047619001</v>
      </c>
      <c r="G5" s="6">
        <v>31.2</v>
      </c>
      <c r="H5" s="4">
        <v>105000</v>
      </c>
    </row>
    <row r="6" spans="1:8" x14ac:dyDescent="0.25">
      <c r="A6" s="35" t="s">
        <v>428</v>
      </c>
      <c r="B6" s="35" t="s">
        <v>429</v>
      </c>
      <c r="C6" s="35" t="s">
        <v>17</v>
      </c>
      <c r="D6" s="34">
        <v>124400</v>
      </c>
      <c r="E6" s="34">
        <v>3520520</v>
      </c>
      <c r="F6" s="36">
        <v>28.3</v>
      </c>
      <c r="G6" s="36">
        <v>27.89</v>
      </c>
      <c r="H6" s="34">
        <v>124400</v>
      </c>
    </row>
    <row r="7" spans="1:8" x14ac:dyDescent="0.25">
      <c r="A7" s="35" t="s">
        <v>430</v>
      </c>
      <c r="B7" s="35" t="s">
        <v>431</v>
      </c>
      <c r="C7" s="35" t="s">
        <v>25</v>
      </c>
      <c r="D7" s="34">
        <v>502500</v>
      </c>
      <c r="E7" s="34">
        <v>6963860</v>
      </c>
      <c r="F7" s="36">
        <v>13.8584278606965</v>
      </c>
      <c r="G7" s="36">
        <v>13.64</v>
      </c>
      <c r="H7" s="34">
        <v>502500</v>
      </c>
    </row>
    <row r="8" spans="1:8" x14ac:dyDescent="0.25">
      <c r="A8" s="35" t="s">
        <v>333</v>
      </c>
      <c r="B8" s="35" t="s">
        <v>334</v>
      </c>
      <c r="C8" s="35" t="s">
        <v>25</v>
      </c>
      <c r="D8" s="34">
        <v>90000</v>
      </c>
      <c r="E8" s="34">
        <v>4835989</v>
      </c>
      <c r="F8" s="36">
        <v>53.733211111111103</v>
      </c>
      <c r="G8" s="36">
        <v>56.04</v>
      </c>
      <c r="H8" s="34">
        <v>115000</v>
      </c>
    </row>
    <row r="9" spans="1:8" x14ac:dyDescent="0.25">
      <c r="A9" s="35" t="s">
        <v>432</v>
      </c>
      <c r="B9" s="35" t="s">
        <v>433</v>
      </c>
      <c r="C9" s="35" t="s">
        <v>25</v>
      </c>
      <c r="D9" s="34">
        <v>300000</v>
      </c>
      <c r="E9" s="34">
        <v>18903390</v>
      </c>
      <c r="F9" s="36">
        <v>63.011299999999999</v>
      </c>
      <c r="G9" s="36">
        <v>62.15</v>
      </c>
      <c r="H9" s="34">
        <v>300000</v>
      </c>
    </row>
    <row r="10" spans="1:8" x14ac:dyDescent="0.25">
      <c r="A10" s="35" t="s">
        <v>434</v>
      </c>
      <c r="B10" s="35" t="s">
        <v>435</v>
      </c>
      <c r="C10" s="35" t="s">
        <v>25</v>
      </c>
      <c r="D10" s="34">
        <v>70000</v>
      </c>
      <c r="E10" s="34">
        <v>1014300</v>
      </c>
      <c r="F10" s="36">
        <v>14.49</v>
      </c>
      <c r="G10" s="36">
        <v>18.350000000000001</v>
      </c>
      <c r="H10" s="34">
        <v>70000</v>
      </c>
    </row>
    <row r="11" spans="1:8" x14ac:dyDescent="0.25">
      <c r="A11" s="35" t="s">
        <v>436</v>
      </c>
      <c r="B11" s="35" t="s">
        <v>437</v>
      </c>
      <c r="C11" s="35" t="s">
        <v>21</v>
      </c>
      <c r="D11" s="34">
        <v>100000</v>
      </c>
      <c r="E11" s="34">
        <v>1693550</v>
      </c>
      <c r="F11" s="36">
        <v>16.935500000000001</v>
      </c>
      <c r="G11" s="36">
        <v>17.75</v>
      </c>
      <c r="H11" s="34">
        <v>100000</v>
      </c>
    </row>
    <row r="12" spans="1:8" x14ac:dyDescent="0.25">
      <c r="A12" s="35" t="s">
        <v>438</v>
      </c>
      <c r="B12" s="35" t="s">
        <v>413</v>
      </c>
      <c r="C12" s="35" t="s">
        <v>17</v>
      </c>
      <c r="D12" s="34">
        <v>125000</v>
      </c>
      <c r="E12" s="34">
        <v>2750000</v>
      </c>
      <c r="F12" s="36">
        <v>22</v>
      </c>
      <c r="G12" s="36">
        <v>25.63</v>
      </c>
      <c r="H12" s="34">
        <v>70851</v>
      </c>
    </row>
    <row r="13" spans="1:8" x14ac:dyDescent="0.25">
      <c r="A13" s="35" t="s">
        <v>439</v>
      </c>
      <c r="B13" s="35" t="s">
        <v>440</v>
      </c>
      <c r="C13" s="35" t="s">
        <v>21</v>
      </c>
      <c r="D13" s="34">
        <v>137500</v>
      </c>
      <c r="E13" s="34">
        <v>2083868</v>
      </c>
      <c r="F13" s="36">
        <v>15.1554036363636</v>
      </c>
      <c r="G13" s="36">
        <v>14.52</v>
      </c>
      <c r="H13" s="34">
        <v>137500</v>
      </c>
    </row>
    <row r="14" spans="1:8" x14ac:dyDescent="0.25">
      <c r="A14" s="35" t="s">
        <v>441</v>
      </c>
      <c r="B14" s="35" t="s">
        <v>442</v>
      </c>
      <c r="C14" s="35" t="s">
        <v>21</v>
      </c>
      <c r="D14" s="34">
        <v>90779</v>
      </c>
      <c r="E14" s="34">
        <v>1347582.9018000001</v>
      </c>
      <c r="F14" s="36">
        <v>14.844654620562</v>
      </c>
      <c r="G14" s="36">
        <v>14.93</v>
      </c>
      <c r="H14" s="34">
        <v>90779</v>
      </c>
    </row>
    <row r="15" spans="1:8" x14ac:dyDescent="0.25">
      <c r="A15" s="35" t="s">
        <v>335</v>
      </c>
      <c r="B15" s="35" t="s">
        <v>336</v>
      </c>
      <c r="C15" s="35" t="s">
        <v>25</v>
      </c>
      <c r="D15" s="34">
        <v>24100</v>
      </c>
      <c r="E15" s="34">
        <v>684145.49</v>
      </c>
      <c r="F15" s="36">
        <v>28.387779668049799</v>
      </c>
      <c r="G15" s="36">
        <v>29.43</v>
      </c>
      <c r="H15" s="34">
        <v>64100</v>
      </c>
    </row>
    <row r="16" spans="1:8" x14ac:dyDescent="0.25">
      <c r="A16" s="35" t="s">
        <v>443</v>
      </c>
      <c r="B16" s="35" t="s">
        <v>444</v>
      </c>
      <c r="C16" s="35" t="s">
        <v>21</v>
      </c>
      <c r="D16" s="34">
        <v>90000</v>
      </c>
      <c r="E16" s="34">
        <v>2420847.75</v>
      </c>
      <c r="F16" s="36">
        <v>26.898308333333301</v>
      </c>
      <c r="G16" s="36">
        <v>32.909999999999997</v>
      </c>
      <c r="H16" s="34">
        <v>115000</v>
      </c>
    </row>
    <row r="17" spans="1:8" x14ac:dyDescent="0.25">
      <c r="A17" s="35" t="s">
        <v>445</v>
      </c>
      <c r="B17" s="35" t="s">
        <v>446</v>
      </c>
      <c r="C17" s="35" t="s">
        <v>25</v>
      </c>
      <c r="D17" s="34">
        <v>40000</v>
      </c>
      <c r="E17" s="34">
        <v>720000</v>
      </c>
      <c r="F17" s="36">
        <v>18</v>
      </c>
      <c r="G17" s="36">
        <v>17.989999999999998</v>
      </c>
      <c r="H17" s="34">
        <v>22672</v>
      </c>
    </row>
    <row r="18" spans="1:8" x14ac:dyDescent="0.25">
      <c r="A18" s="35" t="s">
        <v>447</v>
      </c>
      <c r="B18" s="35" t="s">
        <v>448</v>
      </c>
      <c r="C18" s="35" t="s">
        <v>21</v>
      </c>
      <c r="D18" s="34">
        <v>162019</v>
      </c>
      <c r="E18" s="34">
        <v>2567201.0543999998</v>
      </c>
      <c r="F18" s="36">
        <v>15.8450617174529</v>
      </c>
      <c r="G18" s="36">
        <v>20.22</v>
      </c>
      <c r="H18" s="34">
        <v>162019</v>
      </c>
    </row>
  </sheetData>
  <mergeCells count="2">
    <mergeCell ref="A3:H3"/>
    <mergeCell ref="A1:H1"/>
  </mergeCells>
  <pageMargins left="0.7" right="0.7" top="0.75" bottom="0.75" header="0.3" footer="0.3"/>
  <pageSetup scale="63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542F6-E3A4-4197-BECF-0E2742FB8329}">
  <sheetPr codeName="Sheet4"/>
  <dimension ref="A1:H4"/>
  <sheetViews>
    <sheetView view="pageBreakPreview" zoomScaleNormal="100" zoomScaleSheetLayoutView="100" workbookViewId="0">
      <selection sqref="A1:H2"/>
    </sheetView>
  </sheetViews>
  <sheetFormatPr defaultRowHeight="15" x14ac:dyDescent="0.25"/>
  <cols>
    <col min="1" max="1" width="19" customWidth="1"/>
    <col min="2" max="3" width="11.140625" customWidth="1"/>
    <col min="4" max="4" width="19.7109375" customWidth="1"/>
    <col min="5" max="5" width="11.140625" customWidth="1"/>
    <col min="6" max="6" width="18.140625" customWidth="1"/>
    <col min="7" max="7" width="20.28515625" customWidth="1"/>
    <col min="8" max="8" width="25.7109375" customWidth="1"/>
    <col min="9" max="9" width="3" customWidth="1"/>
  </cols>
  <sheetData>
    <row r="1" spans="1:8" ht="38.25" x14ac:dyDescent="0.25">
      <c r="A1" s="20" t="s">
        <v>0</v>
      </c>
      <c r="B1" s="20" t="s">
        <v>1</v>
      </c>
      <c r="C1" s="20" t="s">
        <v>3</v>
      </c>
      <c r="D1" s="20" t="s">
        <v>95</v>
      </c>
      <c r="E1" s="20" t="s">
        <v>91</v>
      </c>
      <c r="F1" s="20" t="s">
        <v>96</v>
      </c>
      <c r="G1" s="20" t="s">
        <v>8</v>
      </c>
      <c r="H1" s="20" t="s">
        <v>93</v>
      </c>
    </row>
    <row r="2" spans="1:8" ht="15.75" x14ac:dyDescent="0.25">
      <c r="A2" s="74" t="s">
        <v>98</v>
      </c>
      <c r="B2" s="74"/>
      <c r="C2" s="74"/>
      <c r="D2" s="74"/>
      <c r="E2" s="74"/>
      <c r="F2" s="74"/>
      <c r="G2" s="74"/>
      <c r="H2" s="74"/>
    </row>
    <row r="3" spans="1:8" x14ac:dyDescent="0.25">
      <c r="A3" s="5"/>
      <c r="B3" s="5"/>
      <c r="C3" s="5"/>
      <c r="D3" s="4"/>
      <c r="E3" s="4"/>
      <c r="F3" s="6"/>
      <c r="G3" s="6"/>
      <c r="H3" s="4"/>
    </row>
    <row r="4" spans="1:8" x14ac:dyDescent="0.25">
      <c r="A4" s="5"/>
      <c r="B4" s="5"/>
      <c r="C4" s="5"/>
      <c r="D4" s="4"/>
      <c r="E4" s="4"/>
      <c r="F4" s="6"/>
      <c r="G4" s="6"/>
      <c r="H4" s="4"/>
    </row>
  </sheetData>
  <mergeCells count="1">
    <mergeCell ref="A2:H2"/>
  </mergeCells>
  <pageMargins left="0.7" right="0.7" top="0.75" bottom="0.75" header="0.3" footer="0.3"/>
  <pageSetup scale="63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F92DB5-106A-431A-BCFD-22D73CADA351}">
  <sheetPr codeName="Sheet5"/>
  <dimension ref="A1:H30"/>
  <sheetViews>
    <sheetView view="pageBreakPreview" zoomScaleNormal="100" zoomScaleSheetLayoutView="100" workbookViewId="0">
      <selection sqref="A1:H29"/>
    </sheetView>
  </sheetViews>
  <sheetFormatPr defaultRowHeight="15" x14ac:dyDescent="0.25"/>
  <cols>
    <col min="1" max="1" width="14.42578125" customWidth="1"/>
    <col min="2" max="2" width="27.85546875" bestFit="1" customWidth="1"/>
    <col min="3" max="3" width="12.85546875" customWidth="1"/>
    <col min="4" max="4" width="11.5703125" bestFit="1" customWidth="1"/>
    <col min="5" max="5" width="14.28515625" customWidth="1"/>
    <col min="6" max="6" width="19.5703125" customWidth="1"/>
    <col min="7" max="7" width="15.42578125" customWidth="1"/>
    <col min="8" max="8" width="21.140625" customWidth="1"/>
  </cols>
  <sheetData>
    <row r="1" spans="1:8" ht="38.25" x14ac:dyDescent="0.25">
      <c r="A1" s="20" t="s">
        <v>0</v>
      </c>
      <c r="B1" s="20" t="s">
        <v>1</v>
      </c>
      <c r="C1" s="20" t="s">
        <v>3</v>
      </c>
      <c r="D1" s="20" t="s">
        <v>95</v>
      </c>
      <c r="E1" s="20" t="s">
        <v>91</v>
      </c>
      <c r="F1" s="20" t="s">
        <v>96</v>
      </c>
      <c r="G1" s="20" t="s">
        <v>8</v>
      </c>
      <c r="H1" s="20" t="s">
        <v>93</v>
      </c>
    </row>
    <row r="2" spans="1:8" ht="15.75" x14ac:dyDescent="0.25">
      <c r="A2" s="74" t="s">
        <v>97</v>
      </c>
      <c r="B2" s="74"/>
      <c r="C2" s="74"/>
      <c r="D2" s="74"/>
      <c r="E2" s="74"/>
      <c r="F2" s="74"/>
      <c r="G2" s="74"/>
      <c r="H2" s="74"/>
    </row>
    <row r="3" spans="1:8" x14ac:dyDescent="0.25">
      <c r="A3" s="5" t="s">
        <v>449</v>
      </c>
      <c r="B3" s="5" t="s">
        <v>450</v>
      </c>
      <c r="C3" s="5" t="s">
        <v>337</v>
      </c>
      <c r="D3" s="4">
        <v>20000</v>
      </c>
      <c r="E3" s="4">
        <v>1115977.48</v>
      </c>
      <c r="F3" s="6">
        <v>55.798873999999998</v>
      </c>
      <c r="G3" s="6">
        <v>51.04</v>
      </c>
      <c r="H3" s="4">
        <v>80000</v>
      </c>
    </row>
    <row r="4" spans="1:8" x14ac:dyDescent="0.25">
      <c r="A4" s="5" t="s">
        <v>339</v>
      </c>
      <c r="B4" s="5" t="s">
        <v>340</v>
      </c>
      <c r="C4" s="5" t="s">
        <v>237</v>
      </c>
      <c r="D4" s="4">
        <v>25000</v>
      </c>
      <c r="E4" s="4">
        <v>528395.62</v>
      </c>
      <c r="F4" s="6">
        <v>21.135824800000002</v>
      </c>
      <c r="G4" s="6">
        <v>21.17</v>
      </c>
      <c r="H4" s="4">
        <v>120000</v>
      </c>
    </row>
    <row r="5" spans="1:8" x14ac:dyDescent="0.25">
      <c r="A5" s="35" t="s">
        <v>341</v>
      </c>
      <c r="B5" s="35" t="s">
        <v>342</v>
      </c>
      <c r="C5" s="35" t="s">
        <v>237</v>
      </c>
      <c r="D5" s="34">
        <v>25000</v>
      </c>
      <c r="E5" s="34">
        <v>562890.16</v>
      </c>
      <c r="F5" s="36">
        <v>22.515606399999999</v>
      </c>
      <c r="G5" s="36"/>
      <c r="H5" s="34">
        <v>0</v>
      </c>
    </row>
    <row r="6" spans="1:8" x14ac:dyDescent="0.25">
      <c r="A6" s="35" t="s">
        <v>451</v>
      </c>
      <c r="B6" s="35" t="s">
        <v>452</v>
      </c>
      <c r="C6" s="35" t="s">
        <v>237</v>
      </c>
      <c r="D6" s="34">
        <v>25000</v>
      </c>
      <c r="E6" s="34">
        <v>976317.29</v>
      </c>
      <c r="F6" s="36">
        <v>39.052691600000003</v>
      </c>
      <c r="G6" s="36">
        <v>39.29</v>
      </c>
      <c r="H6" s="34">
        <v>50000</v>
      </c>
    </row>
    <row r="7" spans="1:8" x14ac:dyDescent="0.25">
      <c r="A7" s="35" t="s">
        <v>343</v>
      </c>
      <c r="B7" s="35" t="s">
        <v>344</v>
      </c>
      <c r="C7" s="35" t="s">
        <v>17</v>
      </c>
      <c r="D7" s="34">
        <v>15000</v>
      </c>
      <c r="E7" s="34">
        <v>349756.45</v>
      </c>
      <c r="F7" s="36">
        <v>23.3170966666667</v>
      </c>
      <c r="G7" s="36">
        <v>23.2</v>
      </c>
      <c r="H7" s="34">
        <v>40000</v>
      </c>
    </row>
    <row r="8" spans="1:8" x14ac:dyDescent="0.25">
      <c r="A8" s="35" t="s">
        <v>345</v>
      </c>
      <c r="B8" s="35" t="s">
        <v>346</v>
      </c>
      <c r="C8" s="35" t="s">
        <v>21</v>
      </c>
      <c r="D8" s="34">
        <v>5028</v>
      </c>
      <c r="E8" s="34">
        <v>226038.8548</v>
      </c>
      <c r="F8" s="36">
        <v>44.9560172633254</v>
      </c>
      <c r="G8" s="36">
        <v>44.95</v>
      </c>
      <c r="H8" s="34">
        <v>144322</v>
      </c>
    </row>
    <row r="9" spans="1:8" x14ac:dyDescent="0.25">
      <c r="A9" s="35" t="s">
        <v>347</v>
      </c>
      <c r="B9" s="35" t="s">
        <v>348</v>
      </c>
      <c r="C9" s="35" t="s">
        <v>237</v>
      </c>
      <c r="D9" s="34">
        <v>25000</v>
      </c>
      <c r="E9" s="34">
        <v>528903.1</v>
      </c>
      <c r="F9" s="36">
        <v>21.156123999999998</v>
      </c>
      <c r="G9" s="36">
        <v>21.2099993558333</v>
      </c>
      <c r="H9" s="34">
        <v>1883619</v>
      </c>
    </row>
    <row r="10" spans="1:8" x14ac:dyDescent="0.25">
      <c r="A10" s="35" t="s">
        <v>349</v>
      </c>
      <c r="B10" s="35" t="s">
        <v>350</v>
      </c>
      <c r="C10" s="35" t="s">
        <v>337</v>
      </c>
      <c r="D10" s="34">
        <v>65000</v>
      </c>
      <c r="E10" s="34">
        <v>1381712.99</v>
      </c>
      <c r="F10" s="36">
        <v>21.257122923076899</v>
      </c>
      <c r="G10" s="36">
        <v>21.259999968750002</v>
      </c>
      <c r="H10" s="34">
        <v>65000</v>
      </c>
    </row>
    <row r="11" spans="1:8" x14ac:dyDescent="0.25">
      <c r="A11" s="35" t="s">
        <v>351</v>
      </c>
      <c r="B11" s="35" t="s">
        <v>352</v>
      </c>
      <c r="C11" s="35" t="s">
        <v>17</v>
      </c>
      <c r="D11" s="34">
        <v>25000</v>
      </c>
      <c r="E11" s="34">
        <v>1075128.5</v>
      </c>
      <c r="F11" s="36">
        <v>43.005139999999997</v>
      </c>
      <c r="G11" s="36">
        <v>42.440000480000002</v>
      </c>
      <c r="H11" s="34">
        <v>10000</v>
      </c>
    </row>
    <row r="12" spans="1:8" x14ac:dyDescent="0.25">
      <c r="A12" s="35" t="s">
        <v>353</v>
      </c>
      <c r="B12" s="35" t="s">
        <v>354</v>
      </c>
      <c r="C12" s="35" t="s">
        <v>237</v>
      </c>
      <c r="D12" s="34">
        <v>17100</v>
      </c>
      <c r="E12" s="34">
        <v>1282045.55</v>
      </c>
      <c r="F12" s="36">
        <v>74.973423976608203</v>
      </c>
      <c r="G12" s="36">
        <v>73.58</v>
      </c>
      <c r="H12" s="34">
        <v>157032</v>
      </c>
    </row>
    <row r="13" spans="1:8" x14ac:dyDescent="0.25">
      <c r="A13" s="35" t="s">
        <v>355</v>
      </c>
      <c r="B13" s="35" t="s">
        <v>356</v>
      </c>
      <c r="C13" s="35" t="s">
        <v>337</v>
      </c>
      <c r="D13" s="34">
        <v>96153</v>
      </c>
      <c r="E13" s="34">
        <v>2274738.8034000001</v>
      </c>
      <c r="F13" s="36">
        <v>23.657491741287298</v>
      </c>
      <c r="G13" s="36">
        <v>23.69</v>
      </c>
      <c r="H13" s="34">
        <v>674478</v>
      </c>
    </row>
    <row r="14" spans="1:8" x14ac:dyDescent="0.25">
      <c r="A14" s="35" t="s">
        <v>357</v>
      </c>
      <c r="B14" s="35" t="s">
        <v>358</v>
      </c>
      <c r="C14" s="35" t="s">
        <v>21</v>
      </c>
      <c r="D14" s="34">
        <v>15100</v>
      </c>
      <c r="E14" s="34">
        <v>482651.9</v>
      </c>
      <c r="F14" s="36">
        <v>31.963701986755002</v>
      </c>
      <c r="G14" s="36">
        <v>30.99</v>
      </c>
      <c r="H14" s="34">
        <v>16955</v>
      </c>
    </row>
    <row r="15" spans="1:8" x14ac:dyDescent="0.25">
      <c r="A15" s="35" t="s">
        <v>359</v>
      </c>
      <c r="B15" s="35" t="s">
        <v>360</v>
      </c>
      <c r="C15" s="35" t="s">
        <v>237</v>
      </c>
      <c r="D15" s="34">
        <v>19606</v>
      </c>
      <c r="E15" s="34">
        <v>2057968.0056</v>
      </c>
      <c r="F15" s="36">
        <v>104.9662351117</v>
      </c>
      <c r="G15" s="36">
        <v>104.73</v>
      </c>
      <c r="H15" s="34">
        <v>164276</v>
      </c>
    </row>
    <row r="16" spans="1:8" x14ac:dyDescent="0.25">
      <c r="A16" s="35" t="s">
        <v>361</v>
      </c>
      <c r="B16" s="35" t="s">
        <v>362</v>
      </c>
      <c r="C16" s="35" t="s">
        <v>338</v>
      </c>
      <c r="D16" s="34">
        <v>50483</v>
      </c>
      <c r="E16" s="34">
        <v>604495.48320000002</v>
      </c>
      <c r="F16" s="36">
        <v>11.974238519897799</v>
      </c>
      <c r="G16" s="36">
        <v>12</v>
      </c>
      <c r="H16" s="34">
        <v>41717</v>
      </c>
    </row>
    <row r="17" spans="1:8" x14ac:dyDescent="0.25">
      <c r="A17" s="35" t="s">
        <v>453</v>
      </c>
      <c r="B17" s="35" t="s">
        <v>454</v>
      </c>
      <c r="C17" s="35" t="s">
        <v>375</v>
      </c>
      <c r="D17" s="34">
        <v>3000</v>
      </c>
      <c r="E17" s="34">
        <v>962.32</v>
      </c>
      <c r="F17" s="36">
        <v>0.32077333333333302</v>
      </c>
      <c r="G17" s="36"/>
      <c r="H17" s="34"/>
    </row>
    <row r="18" spans="1:8" x14ac:dyDescent="0.25">
      <c r="A18" s="35" t="s">
        <v>455</v>
      </c>
      <c r="B18" s="35" t="s">
        <v>456</v>
      </c>
      <c r="C18" s="35" t="s">
        <v>338</v>
      </c>
      <c r="D18" s="34">
        <v>15041</v>
      </c>
      <c r="E18" s="34">
        <v>194306.1226</v>
      </c>
      <c r="F18" s="36">
        <v>12.9184311282495</v>
      </c>
      <c r="G18" s="36">
        <v>12.79</v>
      </c>
      <c r="H18" s="34">
        <v>84959</v>
      </c>
    </row>
    <row r="19" spans="1:8" x14ac:dyDescent="0.25">
      <c r="A19" s="35" t="s">
        <v>363</v>
      </c>
      <c r="B19" s="35" t="s">
        <v>364</v>
      </c>
      <c r="C19" s="35" t="s">
        <v>237</v>
      </c>
      <c r="D19" s="34">
        <v>15000</v>
      </c>
      <c r="E19" s="34">
        <v>293957.15999999997</v>
      </c>
      <c r="F19" s="36">
        <v>19.597144</v>
      </c>
      <c r="G19" s="36">
        <v>19.400000299999999</v>
      </c>
      <c r="H19" s="34">
        <v>140000</v>
      </c>
    </row>
    <row r="20" spans="1:8" x14ac:dyDescent="0.25">
      <c r="A20" s="35" t="s">
        <v>365</v>
      </c>
      <c r="B20" s="35" t="s">
        <v>366</v>
      </c>
      <c r="C20" s="35" t="s">
        <v>338</v>
      </c>
      <c r="D20" s="34">
        <v>30000</v>
      </c>
      <c r="E20" s="34">
        <v>155796.95000000001</v>
      </c>
      <c r="F20" s="36">
        <v>5.1932316666666702</v>
      </c>
      <c r="G20" s="36">
        <v>5.3</v>
      </c>
      <c r="H20" s="34">
        <v>80000</v>
      </c>
    </row>
    <row r="21" spans="1:8" x14ac:dyDescent="0.25">
      <c r="A21" s="35" t="s">
        <v>367</v>
      </c>
      <c r="B21" s="35" t="s">
        <v>368</v>
      </c>
      <c r="C21" s="35" t="s">
        <v>337</v>
      </c>
      <c r="D21" s="34">
        <v>15557</v>
      </c>
      <c r="E21" s="34">
        <v>372621.08110000001</v>
      </c>
      <c r="F21" s="36">
        <v>23.951988243234599</v>
      </c>
      <c r="G21" s="36">
        <v>24.92</v>
      </c>
      <c r="H21" s="34">
        <v>14880</v>
      </c>
    </row>
    <row r="22" spans="1:8" x14ac:dyDescent="0.25">
      <c r="A22" s="35" t="s">
        <v>369</v>
      </c>
      <c r="B22" s="35" t="s">
        <v>370</v>
      </c>
      <c r="C22" s="35" t="s">
        <v>337</v>
      </c>
      <c r="D22" s="34">
        <v>70000</v>
      </c>
      <c r="E22" s="34">
        <v>3971797.32</v>
      </c>
      <c r="F22" s="36">
        <v>56.739961714285698</v>
      </c>
      <c r="G22" s="36">
        <v>56.35</v>
      </c>
      <c r="H22" s="34">
        <v>83629</v>
      </c>
    </row>
    <row r="23" spans="1:8" x14ac:dyDescent="0.25">
      <c r="A23" s="35" t="s">
        <v>457</v>
      </c>
      <c r="B23" s="35" t="s">
        <v>458</v>
      </c>
      <c r="C23" s="35" t="s">
        <v>17</v>
      </c>
      <c r="D23" s="34">
        <v>40000</v>
      </c>
      <c r="E23" s="34">
        <v>547216.86</v>
      </c>
      <c r="F23" s="36">
        <v>13.6804215</v>
      </c>
      <c r="G23" s="36">
        <v>13.63</v>
      </c>
      <c r="H23" s="34">
        <v>75000</v>
      </c>
    </row>
    <row r="24" spans="1:8" x14ac:dyDescent="0.25">
      <c r="A24" s="35" t="s">
        <v>459</v>
      </c>
      <c r="B24" s="35" t="s">
        <v>460</v>
      </c>
      <c r="C24" s="35" t="s">
        <v>338</v>
      </c>
      <c r="D24" s="34">
        <v>10000</v>
      </c>
      <c r="E24" s="34">
        <v>225545.05</v>
      </c>
      <c r="F24" s="36">
        <v>22.554504999999999</v>
      </c>
      <c r="G24" s="36">
        <v>23.17</v>
      </c>
      <c r="H24" s="34">
        <v>70000</v>
      </c>
    </row>
    <row r="25" spans="1:8" x14ac:dyDescent="0.25">
      <c r="A25" s="35" t="s">
        <v>461</v>
      </c>
      <c r="B25" s="35" t="s">
        <v>462</v>
      </c>
      <c r="C25" s="35" t="s">
        <v>17</v>
      </c>
      <c r="D25" s="34">
        <v>40000</v>
      </c>
      <c r="E25" s="34">
        <v>356427.34</v>
      </c>
      <c r="F25" s="36">
        <v>8.9106834999999993</v>
      </c>
      <c r="G25" s="36">
        <v>8.9</v>
      </c>
      <c r="H25" s="34">
        <v>30000</v>
      </c>
    </row>
    <row r="26" spans="1:8" x14ac:dyDescent="0.25">
      <c r="A26" s="35" t="s">
        <v>371</v>
      </c>
      <c r="B26" s="35" t="s">
        <v>372</v>
      </c>
      <c r="C26" s="35" t="s">
        <v>25</v>
      </c>
      <c r="D26" s="34">
        <v>70000</v>
      </c>
      <c r="E26" s="34">
        <v>965329.41</v>
      </c>
      <c r="F26" s="36">
        <v>13.7904201428571</v>
      </c>
      <c r="G26" s="36">
        <v>13.8</v>
      </c>
      <c r="H26" s="34">
        <v>84055</v>
      </c>
    </row>
    <row r="27" spans="1:8" x14ac:dyDescent="0.25">
      <c r="A27" s="35" t="s">
        <v>463</v>
      </c>
      <c r="B27" s="35" t="s">
        <v>464</v>
      </c>
      <c r="C27" s="35" t="s">
        <v>338</v>
      </c>
      <c r="D27" s="34">
        <v>36259</v>
      </c>
      <c r="E27" s="34">
        <v>405158.01179999998</v>
      </c>
      <c r="F27" s="36">
        <v>11.1739985051987</v>
      </c>
      <c r="G27" s="36">
        <v>10.95</v>
      </c>
      <c r="H27" s="34">
        <v>273741</v>
      </c>
    </row>
    <row r="28" spans="1:8" x14ac:dyDescent="0.25">
      <c r="A28" s="35" t="s">
        <v>373</v>
      </c>
      <c r="B28" s="35" t="s">
        <v>374</v>
      </c>
      <c r="C28" s="35" t="s">
        <v>375</v>
      </c>
      <c r="D28" s="34">
        <v>13500</v>
      </c>
      <c r="E28" s="34">
        <v>66975.23</v>
      </c>
      <c r="F28" s="36">
        <v>4.9611281481481502</v>
      </c>
      <c r="G28" s="36">
        <v>5.059999017</v>
      </c>
      <c r="H28" s="34">
        <v>10173</v>
      </c>
    </row>
    <row r="29" spans="1:8" x14ac:dyDescent="0.25">
      <c r="A29" s="35" t="s">
        <v>376</v>
      </c>
      <c r="B29" s="35" t="s">
        <v>377</v>
      </c>
      <c r="C29" s="35" t="s">
        <v>237</v>
      </c>
      <c r="D29" s="34">
        <v>25000</v>
      </c>
      <c r="E29" s="34">
        <v>737755.39</v>
      </c>
      <c r="F29" s="36">
        <v>29.510215599999999</v>
      </c>
      <c r="G29" s="36">
        <v>29.75</v>
      </c>
      <c r="H29" s="34">
        <v>185000</v>
      </c>
    </row>
    <row r="30" spans="1:8" x14ac:dyDescent="0.25">
      <c r="A30" s="35"/>
      <c r="B30" s="35"/>
      <c r="C30" s="35"/>
      <c r="D30" s="34"/>
      <c r="E30" s="34"/>
      <c r="F30" s="36"/>
      <c r="G30" s="36"/>
      <c r="H30" s="34"/>
    </row>
  </sheetData>
  <mergeCells count="1">
    <mergeCell ref="A2:H2"/>
  </mergeCells>
  <pageMargins left="0.7" right="0.7" top="0.75" bottom="0.75" header="0.3" footer="0.3"/>
  <pageSetup scale="65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671DD-13C4-4FC1-A23A-53963E84D6CC}">
  <sheetPr codeName="Sheet6"/>
  <dimension ref="A1:H5"/>
  <sheetViews>
    <sheetView view="pageBreakPreview" zoomScaleNormal="100" zoomScaleSheetLayoutView="100" workbookViewId="0">
      <selection sqref="A1:H3"/>
    </sheetView>
  </sheetViews>
  <sheetFormatPr defaultRowHeight="15" x14ac:dyDescent="0.25"/>
  <cols>
    <col min="1" max="1" width="13.5703125" style="2" customWidth="1"/>
    <col min="2" max="2" width="24.42578125" style="2" bestFit="1" customWidth="1"/>
    <col min="3" max="3" width="14.140625" style="2" customWidth="1"/>
    <col min="4" max="4" width="14.28515625" style="2" customWidth="1"/>
    <col min="5" max="5" width="15.140625" style="2" customWidth="1"/>
    <col min="6" max="6" width="19.140625" style="2" customWidth="1"/>
    <col min="7" max="7" width="15" style="2" customWidth="1"/>
    <col min="8" max="8" width="21.140625" style="2" customWidth="1"/>
    <col min="9" max="16384" width="9.140625" style="2"/>
  </cols>
  <sheetData>
    <row r="1" spans="1:8" ht="38.25" x14ac:dyDescent="0.25">
      <c r="A1" s="20" t="s">
        <v>0</v>
      </c>
      <c r="B1" s="20" t="s">
        <v>1</v>
      </c>
      <c r="C1" s="20" t="s">
        <v>3</v>
      </c>
      <c r="D1" s="20" t="s">
        <v>95</v>
      </c>
      <c r="E1" s="20" t="s">
        <v>91</v>
      </c>
      <c r="F1" s="20" t="s">
        <v>96</v>
      </c>
      <c r="G1" s="20" t="s">
        <v>8</v>
      </c>
      <c r="H1" s="20" t="s">
        <v>93</v>
      </c>
    </row>
    <row r="2" spans="1:8" ht="15.75" x14ac:dyDescent="0.25">
      <c r="A2" s="74" t="s">
        <v>99</v>
      </c>
      <c r="B2" s="74"/>
      <c r="C2" s="74"/>
      <c r="D2" s="74"/>
      <c r="E2" s="74"/>
      <c r="F2" s="74"/>
      <c r="G2" s="74"/>
      <c r="H2" s="74"/>
    </row>
    <row r="3" spans="1:8" x14ac:dyDescent="0.25">
      <c r="A3" s="5" t="s">
        <v>465</v>
      </c>
      <c r="B3" s="5" t="s">
        <v>466</v>
      </c>
      <c r="C3" s="5" t="s">
        <v>337</v>
      </c>
      <c r="D3" s="4">
        <v>10000</v>
      </c>
      <c r="E3" s="4">
        <v>280227.34999999998</v>
      </c>
      <c r="F3" s="6">
        <v>28.022735000000001</v>
      </c>
      <c r="G3" s="6">
        <v>26.67</v>
      </c>
      <c r="H3" s="4">
        <v>-10000</v>
      </c>
    </row>
    <row r="4" spans="1:8" x14ac:dyDescent="0.25">
      <c r="A4" s="5"/>
      <c r="B4" s="5"/>
      <c r="C4" s="5"/>
      <c r="D4" s="4"/>
      <c r="E4" s="4"/>
      <c r="F4" s="6"/>
      <c r="G4" s="6"/>
      <c r="H4" s="4"/>
    </row>
    <row r="5" spans="1:8" x14ac:dyDescent="0.25">
      <c r="A5" s="35"/>
      <c r="B5" s="35"/>
      <c r="C5" s="35"/>
      <c r="D5" s="34"/>
      <c r="E5" s="34"/>
      <c r="F5" s="36"/>
      <c r="G5" s="36"/>
      <c r="H5" s="34"/>
    </row>
  </sheetData>
  <mergeCells count="1">
    <mergeCell ref="A2:H2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A3DAE8-D5C0-45FA-A560-400ACDBE596B}">
  <sheetPr codeName="Sheet8"/>
  <dimension ref="A1:N131"/>
  <sheetViews>
    <sheetView workbookViewId="0">
      <selection activeCell="A2" sqref="A2:N131"/>
    </sheetView>
  </sheetViews>
  <sheetFormatPr defaultRowHeight="15" x14ac:dyDescent="0.25"/>
  <cols>
    <col min="1" max="16384" width="9.140625" style="31"/>
  </cols>
  <sheetData>
    <row r="1" spans="1:14" x14ac:dyDescent="0.25">
      <c r="A1" s="31" t="s">
        <v>0</v>
      </c>
      <c r="B1" s="31" t="s">
        <v>1</v>
      </c>
      <c r="C1" s="31" t="s">
        <v>2</v>
      </c>
      <c r="D1" s="31" t="s">
        <v>3</v>
      </c>
      <c r="E1" s="31" t="s">
        <v>4</v>
      </c>
      <c r="F1" s="31" t="s">
        <v>5</v>
      </c>
      <c r="G1" s="31" t="s">
        <v>115</v>
      </c>
      <c r="H1" s="31" t="s">
        <v>116</v>
      </c>
      <c r="I1" s="31" t="s">
        <v>8</v>
      </c>
      <c r="J1" s="31" t="s">
        <v>117</v>
      </c>
      <c r="K1" s="31" t="s">
        <v>10</v>
      </c>
      <c r="L1" s="31" t="s">
        <v>11</v>
      </c>
      <c r="M1" s="31" t="s">
        <v>12</v>
      </c>
      <c r="N1" s="31" t="s">
        <v>118</v>
      </c>
    </row>
    <row r="2" spans="1:14" x14ac:dyDescent="0.25">
      <c r="A2" s="31" t="s">
        <v>15</v>
      </c>
      <c r="B2" s="31" t="s">
        <v>119</v>
      </c>
      <c r="C2" s="31" t="s">
        <v>16</v>
      </c>
      <c r="D2" s="31" t="s">
        <v>17</v>
      </c>
      <c r="E2" s="31" t="s">
        <v>18</v>
      </c>
      <c r="F2" s="31">
        <v>1400</v>
      </c>
      <c r="G2" s="31">
        <v>1</v>
      </c>
      <c r="H2" s="31">
        <v>79</v>
      </c>
      <c r="I2" s="31">
        <v>28.95</v>
      </c>
      <c r="J2" s="31">
        <v>26.05</v>
      </c>
      <c r="M2" s="31">
        <v>-350</v>
      </c>
      <c r="N2" s="31">
        <v>40530</v>
      </c>
    </row>
    <row r="3" spans="1:14" x14ac:dyDescent="0.25">
      <c r="A3" s="31" t="s">
        <v>78</v>
      </c>
      <c r="B3" s="31" t="s">
        <v>120</v>
      </c>
      <c r="C3" s="31" t="s">
        <v>121</v>
      </c>
      <c r="D3" s="31" t="s">
        <v>17</v>
      </c>
      <c r="E3" s="31" t="s">
        <v>19</v>
      </c>
      <c r="F3" s="31">
        <v>326147</v>
      </c>
      <c r="G3" s="31">
        <v>0.494162121212121</v>
      </c>
      <c r="H3" s="31">
        <v>45</v>
      </c>
      <c r="I3" s="31">
        <v>24.08</v>
      </c>
      <c r="J3" s="31">
        <v>22.616003030302998</v>
      </c>
      <c r="K3" s="31">
        <v>20.399999999999999</v>
      </c>
      <c r="L3" s="31">
        <v>25</v>
      </c>
      <c r="M3" s="31">
        <v>0</v>
      </c>
      <c r="N3" s="31">
        <v>7853619.7599999998</v>
      </c>
    </row>
    <row r="4" spans="1:14" x14ac:dyDescent="0.25">
      <c r="A4" s="31" t="s">
        <v>122</v>
      </c>
      <c r="B4" s="31" t="s">
        <v>123</v>
      </c>
      <c r="C4" s="31" t="s">
        <v>20</v>
      </c>
      <c r="D4" s="31" t="s">
        <v>25</v>
      </c>
      <c r="E4" s="31" t="s">
        <v>31</v>
      </c>
      <c r="F4" s="31">
        <v>112000</v>
      </c>
      <c r="G4" s="31">
        <v>1</v>
      </c>
      <c r="H4" s="31">
        <v>15</v>
      </c>
      <c r="I4" s="31">
        <v>35.28</v>
      </c>
      <c r="J4" s="31">
        <v>35.206919642857102</v>
      </c>
      <c r="K4" s="31">
        <v>31.7</v>
      </c>
      <c r="L4" s="31">
        <v>38.5</v>
      </c>
      <c r="M4" s="31">
        <v>-20160</v>
      </c>
      <c r="N4" s="31">
        <v>3951360</v>
      </c>
    </row>
    <row r="5" spans="1:14" x14ac:dyDescent="0.25">
      <c r="A5" s="31" t="s">
        <v>396</v>
      </c>
      <c r="B5" s="31" t="s">
        <v>397</v>
      </c>
      <c r="C5" s="31" t="s">
        <v>23</v>
      </c>
      <c r="D5" s="31" t="s">
        <v>21</v>
      </c>
      <c r="F5" s="31">
        <v>160000</v>
      </c>
      <c r="G5" s="31">
        <v>1</v>
      </c>
      <c r="H5" s="31">
        <v>1</v>
      </c>
      <c r="I5" s="31">
        <v>20.2</v>
      </c>
      <c r="J5" s="31">
        <v>16.418928125000001</v>
      </c>
      <c r="M5" s="31">
        <v>604971.49459999998</v>
      </c>
      <c r="N5" s="31">
        <v>3232000</v>
      </c>
    </row>
    <row r="6" spans="1:14" x14ac:dyDescent="0.25">
      <c r="A6" s="31" t="s">
        <v>124</v>
      </c>
      <c r="B6" s="31" t="s">
        <v>125</v>
      </c>
      <c r="C6" s="31" t="s">
        <v>20</v>
      </c>
      <c r="D6" s="31" t="s">
        <v>21</v>
      </c>
      <c r="E6" s="31" t="s">
        <v>22</v>
      </c>
      <c r="F6" s="32">
        <v>400000</v>
      </c>
      <c r="G6" s="31">
        <v>0.8</v>
      </c>
      <c r="H6" s="31">
        <v>30</v>
      </c>
      <c r="I6" s="31">
        <v>4.0999999999999996</v>
      </c>
      <c r="J6" s="31">
        <v>4</v>
      </c>
      <c r="K6" s="31">
        <v>3.6</v>
      </c>
      <c r="L6" s="31">
        <v>4.5</v>
      </c>
      <c r="M6" s="31">
        <v>59999.999999999898</v>
      </c>
      <c r="N6" s="31">
        <v>1640000</v>
      </c>
    </row>
    <row r="7" spans="1:14" x14ac:dyDescent="0.25">
      <c r="A7" s="31" t="s">
        <v>126</v>
      </c>
      <c r="B7" s="31" t="s">
        <v>127</v>
      </c>
      <c r="C7" s="31" t="s">
        <v>20</v>
      </c>
      <c r="D7" s="31" t="s">
        <v>17</v>
      </c>
      <c r="E7" s="31" t="s">
        <v>31</v>
      </c>
      <c r="F7" s="31">
        <v>80000</v>
      </c>
      <c r="G7" s="31">
        <v>1</v>
      </c>
      <c r="H7" s="31">
        <v>8</v>
      </c>
      <c r="I7" s="31">
        <v>17.12</v>
      </c>
      <c r="J7" s="31">
        <v>17.5</v>
      </c>
      <c r="K7" s="31">
        <v>15.75</v>
      </c>
      <c r="L7" s="31">
        <v>19.25</v>
      </c>
      <c r="M7" s="31">
        <v>-61600</v>
      </c>
      <c r="N7" s="31">
        <v>1369600</v>
      </c>
    </row>
    <row r="8" spans="1:14" x14ac:dyDescent="0.25">
      <c r="A8" s="31" t="s">
        <v>24</v>
      </c>
      <c r="B8" s="31" t="s">
        <v>128</v>
      </c>
      <c r="C8" s="31" t="s">
        <v>16</v>
      </c>
      <c r="D8" s="31" t="s">
        <v>25</v>
      </c>
      <c r="E8" s="31" t="s">
        <v>19</v>
      </c>
      <c r="F8" s="31">
        <v>240000</v>
      </c>
      <c r="G8" s="31">
        <v>1</v>
      </c>
      <c r="H8" s="31">
        <v>64</v>
      </c>
      <c r="I8" s="31">
        <v>7.2</v>
      </c>
      <c r="J8" s="31">
        <v>7.6775458333333297</v>
      </c>
      <c r="K8" s="31">
        <v>7</v>
      </c>
      <c r="L8" s="31">
        <v>10.050000000000001</v>
      </c>
      <c r="M8" s="31">
        <v>24000</v>
      </c>
      <c r="N8" s="31">
        <v>1728000</v>
      </c>
    </row>
    <row r="9" spans="1:14" x14ac:dyDescent="0.25">
      <c r="A9" s="31" t="s">
        <v>129</v>
      </c>
      <c r="B9" s="31" t="s">
        <v>130</v>
      </c>
      <c r="C9" s="31" t="s">
        <v>23</v>
      </c>
      <c r="D9" s="31" t="s">
        <v>25</v>
      </c>
      <c r="E9" s="31" t="s">
        <v>31</v>
      </c>
      <c r="F9" s="31">
        <v>80000</v>
      </c>
      <c r="G9" s="31">
        <v>0.8</v>
      </c>
      <c r="H9" s="31">
        <v>7</v>
      </c>
      <c r="I9" s="31">
        <v>51.04</v>
      </c>
      <c r="J9" s="31">
        <v>32.081139999999998</v>
      </c>
      <c r="K9" s="31">
        <v>48</v>
      </c>
      <c r="L9" s="31">
        <v>52</v>
      </c>
      <c r="M9" s="31">
        <v>698171.04240000003</v>
      </c>
      <c r="N9" s="31">
        <v>4083200</v>
      </c>
    </row>
    <row r="10" spans="1:14" x14ac:dyDescent="0.25">
      <c r="A10" s="31" t="s">
        <v>398</v>
      </c>
      <c r="B10" s="31" t="s">
        <v>399</v>
      </c>
      <c r="C10" s="31" t="s">
        <v>23</v>
      </c>
      <c r="D10" s="31" t="s">
        <v>21</v>
      </c>
      <c r="F10" s="31">
        <v>105000</v>
      </c>
      <c r="G10" s="31">
        <v>1</v>
      </c>
      <c r="H10" s="31">
        <v>1</v>
      </c>
      <c r="I10" s="31">
        <v>31.2</v>
      </c>
      <c r="J10" s="31">
        <v>26.317719047619001</v>
      </c>
      <c r="M10" s="31">
        <v>512639.4987</v>
      </c>
      <c r="N10" s="31">
        <v>3276000</v>
      </c>
    </row>
    <row r="11" spans="1:14" x14ac:dyDescent="0.25">
      <c r="A11" s="31" t="s">
        <v>131</v>
      </c>
      <c r="B11" s="31" t="s">
        <v>132</v>
      </c>
      <c r="C11" s="31" t="s">
        <v>20</v>
      </c>
      <c r="D11" s="31" t="s">
        <v>21</v>
      </c>
      <c r="E11" s="31" t="s">
        <v>22</v>
      </c>
      <c r="F11" s="31">
        <v>19813</v>
      </c>
      <c r="G11" s="31">
        <v>0.19813</v>
      </c>
      <c r="H11" s="31">
        <v>44</v>
      </c>
      <c r="I11" s="31">
        <v>51.75</v>
      </c>
      <c r="J11" s="31">
        <v>41</v>
      </c>
      <c r="K11" s="31">
        <v>48</v>
      </c>
      <c r="L11" s="31">
        <v>49</v>
      </c>
      <c r="M11" s="31">
        <v>-14859.75</v>
      </c>
      <c r="N11" s="31">
        <v>1025322.75</v>
      </c>
    </row>
    <row r="12" spans="1:14" x14ac:dyDescent="0.25">
      <c r="A12" s="31" t="s">
        <v>27</v>
      </c>
      <c r="B12" s="31" t="s">
        <v>133</v>
      </c>
      <c r="C12" s="31" t="s">
        <v>16</v>
      </c>
      <c r="D12" s="31" t="s">
        <v>17</v>
      </c>
      <c r="E12" s="31" t="s">
        <v>19</v>
      </c>
      <c r="F12" s="32">
        <v>100000</v>
      </c>
      <c r="G12" s="31">
        <v>1</v>
      </c>
      <c r="H12" s="31">
        <v>137</v>
      </c>
      <c r="I12" s="31">
        <v>17.86</v>
      </c>
      <c r="J12" s="31">
        <v>15.2788</v>
      </c>
      <c r="K12" s="31">
        <v>14.4</v>
      </c>
      <c r="L12" s="31">
        <v>17.600000000000001</v>
      </c>
      <c r="M12" s="31">
        <v>-53000</v>
      </c>
      <c r="N12" s="31">
        <v>1786000</v>
      </c>
    </row>
    <row r="13" spans="1:14" x14ac:dyDescent="0.25">
      <c r="A13" s="31" t="s">
        <v>134</v>
      </c>
      <c r="B13" s="31" t="s">
        <v>135</v>
      </c>
      <c r="C13" s="31" t="s">
        <v>20</v>
      </c>
      <c r="D13" s="31" t="s">
        <v>17</v>
      </c>
      <c r="E13" s="31" t="s">
        <v>19</v>
      </c>
      <c r="F13" s="31">
        <v>120000</v>
      </c>
      <c r="G13" s="31">
        <v>0.4</v>
      </c>
      <c r="H13" s="31">
        <v>36</v>
      </c>
      <c r="I13" s="31">
        <v>21.17</v>
      </c>
      <c r="J13" s="31">
        <v>21.424569999999999</v>
      </c>
      <c r="K13" s="31">
        <v>19.3</v>
      </c>
      <c r="L13" s="31">
        <v>23.55</v>
      </c>
      <c r="M13" s="31">
        <v>-18257.4273999998</v>
      </c>
      <c r="N13" s="31">
        <v>2540400</v>
      </c>
    </row>
    <row r="14" spans="1:14" x14ac:dyDescent="0.25">
      <c r="A14" s="31" t="s">
        <v>136</v>
      </c>
      <c r="B14" s="31" t="s">
        <v>137</v>
      </c>
      <c r="C14" s="31" t="s">
        <v>20</v>
      </c>
      <c r="D14" s="31" t="s">
        <v>17</v>
      </c>
      <c r="E14" s="31" t="s">
        <v>31</v>
      </c>
      <c r="F14" s="31">
        <v>30000</v>
      </c>
      <c r="G14" s="31">
        <v>0.24</v>
      </c>
      <c r="H14" s="31">
        <v>29</v>
      </c>
      <c r="I14" s="31">
        <v>202.21</v>
      </c>
      <c r="J14" s="31">
        <v>197.3</v>
      </c>
      <c r="L14" s="31">
        <v>100</v>
      </c>
      <c r="M14" s="31">
        <v>-120600</v>
      </c>
      <c r="N14" s="31">
        <v>6066300</v>
      </c>
    </row>
    <row r="15" spans="1:14" x14ac:dyDescent="0.25">
      <c r="A15" s="31" t="s">
        <v>138</v>
      </c>
      <c r="B15" s="31" t="s">
        <v>139</v>
      </c>
      <c r="C15" s="31" t="s">
        <v>16</v>
      </c>
      <c r="D15" s="31" t="s">
        <v>25</v>
      </c>
      <c r="E15" s="31" t="s">
        <v>31</v>
      </c>
      <c r="F15" s="31">
        <v>75000</v>
      </c>
      <c r="G15" s="31">
        <v>1</v>
      </c>
      <c r="H15" s="31">
        <v>44</v>
      </c>
      <c r="I15" s="31">
        <v>39.58</v>
      </c>
      <c r="J15" s="31">
        <v>35.147480000000002</v>
      </c>
      <c r="K15" s="31">
        <v>19.2</v>
      </c>
      <c r="L15" s="31">
        <v>23</v>
      </c>
      <c r="M15" s="31">
        <v>-26250</v>
      </c>
      <c r="N15" s="31">
        <v>2968500</v>
      </c>
    </row>
    <row r="16" spans="1:14" x14ac:dyDescent="0.25">
      <c r="A16" s="31" t="s">
        <v>28</v>
      </c>
      <c r="B16" s="31" t="s">
        <v>140</v>
      </c>
      <c r="C16" s="31" t="s">
        <v>16</v>
      </c>
      <c r="D16" s="31" t="s">
        <v>17</v>
      </c>
      <c r="E16" s="31" t="s">
        <v>29</v>
      </c>
      <c r="F16" s="31">
        <v>40000</v>
      </c>
      <c r="G16" s="31">
        <v>1</v>
      </c>
      <c r="H16" s="31">
        <v>94</v>
      </c>
      <c r="I16" s="31">
        <v>46.23</v>
      </c>
      <c r="J16" s="31">
        <v>54.228400000000001</v>
      </c>
      <c r="M16" s="31">
        <v>-10800</v>
      </c>
      <c r="N16" s="31">
        <v>1849200</v>
      </c>
    </row>
    <row r="17" spans="1:14" x14ac:dyDescent="0.25">
      <c r="A17" s="31" t="s">
        <v>141</v>
      </c>
      <c r="B17" s="31" t="s">
        <v>142</v>
      </c>
      <c r="C17" s="31" t="s">
        <v>20</v>
      </c>
      <c r="D17" s="31" t="s">
        <v>17</v>
      </c>
      <c r="E17" s="31" t="s">
        <v>18</v>
      </c>
      <c r="F17" s="32">
        <v>200000</v>
      </c>
      <c r="G17" s="31">
        <v>1</v>
      </c>
      <c r="H17" s="31">
        <v>7</v>
      </c>
      <c r="I17" s="31">
        <v>45.01</v>
      </c>
      <c r="J17" s="31">
        <v>44.622489999999999</v>
      </c>
      <c r="K17" s="31">
        <v>40.200000000000003</v>
      </c>
      <c r="L17" s="31">
        <v>49.1</v>
      </c>
      <c r="M17" s="31">
        <v>-120000</v>
      </c>
      <c r="N17" s="31">
        <v>9002000</v>
      </c>
    </row>
    <row r="18" spans="1:14" x14ac:dyDescent="0.25">
      <c r="A18" s="31" t="s">
        <v>30</v>
      </c>
      <c r="B18" s="31" t="s">
        <v>143</v>
      </c>
      <c r="C18" s="31" t="s">
        <v>16</v>
      </c>
      <c r="D18" s="31" t="s">
        <v>25</v>
      </c>
      <c r="E18" s="31" t="s">
        <v>31</v>
      </c>
      <c r="F18" s="31">
        <v>77500</v>
      </c>
      <c r="G18" s="31">
        <v>0.46969696969697</v>
      </c>
      <c r="H18" s="31">
        <v>155</v>
      </c>
      <c r="I18" s="31">
        <v>27.61</v>
      </c>
      <c r="J18" s="31">
        <v>23.197727272727299</v>
      </c>
      <c r="K18" s="31">
        <v>20.100000000000001</v>
      </c>
      <c r="L18" s="31">
        <v>24</v>
      </c>
      <c r="M18" s="31">
        <v>-108500</v>
      </c>
      <c r="N18" s="31">
        <v>2139775</v>
      </c>
    </row>
    <row r="19" spans="1:14" x14ac:dyDescent="0.25">
      <c r="A19" s="31" t="s">
        <v>32</v>
      </c>
      <c r="B19" s="31" t="s">
        <v>144</v>
      </c>
      <c r="C19" s="31" t="s">
        <v>16</v>
      </c>
      <c r="D19" s="31" t="s">
        <v>25</v>
      </c>
      <c r="E19" s="31" t="s">
        <v>31</v>
      </c>
      <c r="F19" s="31">
        <v>120000</v>
      </c>
      <c r="G19" s="31">
        <v>1</v>
      </c>
      <c r="H19" s="31">
        <v>35</v>
      </c>
      <c r="I19" s="31">
        <v>17.71</v>
      </c>
      <c r="J19" s="31">
        <v>20.001141666666701</v>
      </c>
      <c r="K19" s="31">
        <v>20</v>
      </c>
      <c r="L19" s="31">
        <v>24</v>
      </c>
      <c r="M19" s="31">
        <v>-31200</v>
      </c>
      <c r="N19" s="31">
        <v>2125200</v>
      </c>
    </row>
    <row r="20" spans="1:14" x14ac:dyDescent="0.25">
      <c r="A20" s="31" t="s">
        <v>145</v>
      </c>
      <c r="B20" s="31" t="s">
        <v>146</v>
      </c>
      <c r="C20" s="31" t="s">
        <v>20</v>
      </c>
      <c r="D20" s="31" t="s">
        <v>21</v>
      </c>
      <c r="E20" s="31" t="s">
        <v>22</v>
      </c>
      <c r="F20" s="31">
        <v>650000</v>
      </c>
      <c r="G20" s="31">
        <v>1</v>
      </c>
      <c r="H20" s="31">
        <v>2</v>
      </c>
      <c r="I20" s="31">
        <v>0.87</v>
      </c>
      <c r="J20" s="31">
        <v>1</v>
      </c>
      <c r="K20" s="31">
        <v>0.9</v>
      </c>
      <c r="L20" s="31">
        <v>1.1000000000000001</v>
      </c>
      <c r="M20" s="31">
        <v>0</v>
      </c>
      <c r="N20" s="31">
        <v>565500</v>
      </c>
    </row>
    <row r="21" spans="1:14" x14ac:dyDescent="0.25">
      <c r="A21" s="31" t="s">
        <v>400</v>
      </c>
      <c r="B21" s="31" t="s">
        <v>401</v>
      </c>
      <c r="C21" s="31" t="s">
        <v>20</v>
      </c>
      <c r="D21" s="31" t="s">
        <v>21</v>
      </c>
      <c r="E21" s="31" t="s">
        <v>22</v>
      </c>
      <c r="F21" s="31">
        <v>369099</v>
      </c>
      <c r="G21" s="31">
        <v>0.76759536737991596</v>
      </c>
      <c r="H21" s="31">
        <v>30</v>
      </c>
      <c r="I21" s="31">
        <v>5.2</v>
      </c>
      <c r="J21" s="31">
        <v>4.7000006238938896</v>
      </c>
      <c r="K21" s="31">
        <v>5.5</v>
      </c>
      <c r="L21" s="31">
        <v>7</v>
      </c>
      <c r="M21" s="31">
        <v>-73819.800000000105</v>
      </c>
      <c r="N21" s="31">
        <v>1919314.8</v>
      </c>
    </row>
    <row r="22" spans="1:14" x14ac:dyDescent="0.25">
      <c r="A22" s="31" t="s">
        <v>147</v>
      </c>
      <c r="B22" s="31" t="s">
        <v>148</v>
      </c>
      <c r="C22" s="31" t="s">
        <v>20</v>
      </c>
      <c r="D22" s="31" t="s">
        <v>25</v>
      </c>
      <c r="E22" s="31" t="s">
        <v>18</v>
      </c>
      <c r="F22" s="31">
        <v>50000</v>
      </c>
      <c r="G22" s="31">
        <v>1</v>
      </c>
      <c r="H22" s="31">
        <v>22</v>
      </c>
      <c r="I22" s="31">
        <v>18.5</v>
      </c>
      <c r="J22" s="31">
        <v>18.09986</v>
      </c>
      <c r="K22" s="31">
        <v>16.3</v>
      </c>
      <c r="L22" s="31">
        <v>19.899999999999999</v>
      </c>
      <c r="M22" s="31">
        <v>-7499.99999999997</v>
      </c>
      <c r="N22" s="31">
        <v>925000</v>
      </c>
    </row>
    <row r="23" spans="1:14" x14ac:dyDescent="0.25">
      <c r="A23" s="31" t="s">
        <v>149</v>
      </c>
      <c r="B23" s="31" t="s">
        <v>150</v>
      </c>
      <c r="C23" s="31" t="s">
        <v>23</v>
      </c>
      <c r="D23" s="31" t="s">
        <v>17</v>
      </c>
      <c r="E23" s="31" t="s">
        <v>19</v>
      </c>
      <c r="F23" s="32">
        <v>400000</v>
      </c>
      <c r="G23" s="31">
        <v>1</v>
      </c>
      <c r="H23" s="31">
        <v>8</v>
      </c>
      <c r="I23" s="31">
        <v>11.27</v>
      </c>
      <c r="J23" s="31">
        <v>11.8830375</v>
      </c>
      <c r="K23" s="31">
        <v>10.7</v>
      </c>
      <c r="L23" s="31">
        <v>13.1</v>
      </c>
      <c r="M23" s="31">
        <v>128000</v>
      </c>
      <c r="N23" s="31">
        <v>4508000</v>
      </c>
    </row>
    <row r="24" spans="1:14" x14ac:dyDescent="0.25">
      <c r="A24" s="31" t="s">
        <v>151</v>
      </c>
      <c r="B24" s="31" t="s">
        <v>152</v>
      </c>
      <c r="C24" s="31" t="s">
        <v>20</v>
      </c>
      <c r="D24" s="31" t="s">
        <v>21</v>
      </c>
      <c r="E24" s="31" t="s">
        <v>22</v>
      </c>
      <c r="F24" s="31">
        <v>125000</v>
      </c>
      <c r="G24" s="31">
        <v>0.83333333333333304</v>
      </c>
      <c r="H24" s="31">
        <v>30</v>
      </c>
      <c r="I24" s="31">
        <v>16.3</v>
      </c>
      <c r="J24" s="31">
        <v>14.5</v>
      </c>
      <c r="K24" s="31">
        <v>9.75</v>
      </c>
      <c r="L24" s="31">
        <v>12.5</v>
      </c>
      <c r="M24" s="31">
        <v>-143750</v>
      </c>
      <c r="N24" s="31">
        <v>2037500</v>
      </c>
    </row>
    <row r="25" spans="1:14" x14ac:dyDescent="0.25">
      <c r="A25" s="31" t="s">
        <v>153</v>
      </c>
      <c r="B25" s="31" t="s">
        <v>154</v>
      </c>
      <c r="C25" s="31" t="s">
        <v>20</v>
      </c>
      <c r="D25" s="31" t="s">
        <v>17</v>
      </c>
      <c r="E25" s="31" t="s">
        <v>19</v>
      </c>
      <c r="F25" s="31">
        <v>50000</v>
      </c>
      <c r="G25" s="31">
        <v>0.66666666666666696</v>
      </c>
      <c r="H25" s="31">
        <v>9</v>
      </c>
      <c r="I25" s="31">
        <v>39.29</v>
      </c>
      <c r="J25" s="31">
        <v>44.183333333333302</v>
      </c>
      <c r="K25" s="31">
        <v>38.4</v>
      </c>
      <c r="L25" s="31">
        <v>46.9</v>
      </c>
      <c r="M25" s="31">
        <v>-186688.3248</v>
      </c>
      <c r="N25" s="31">
        <v>1964500</v>
      </c>
    </row>
    <row r="26" spans="1:14" x14ac:dyDescent="0.25">
      <c r="A26" s="31" t="s">
        <v>155</v>
      </c>
      <c r="B26" s="31" t="s">
        <v>156</v>
      </c>
      <c r="C26" s="31" t="s">
        <v>121</v>
      </c>
      <c r="D26" s="31" t="s">
        <v>25</v>
      </c>
      <c r="E26" s="31" t="s">
        <v>31</v>
      </c>
      <c r="F26" s="31">
        <v>544900</v>
      </c>
      <c r="G26" s="31">
        <v>1.1596084273249601</v>
      </c>
      <c r="H26" s="31">
        <v>7</v>
      </c>
      <c r="I26" s="31">
        <v>15.04</v>
      </c>
      <c r="J26" s="31">
        <v>14.991779101936601</v>
      </c>
      <c r="K26" s="31">
        <v>13.5</v>
      </c>
      <c r="L26" s="31">
        <v>16.5</v>
      </c>
      <c r="M26" s="31">
        <v>-59939.000000000196</v>
      </c>
      <c r="N26" s="31">
        <v>8195296</v>
      </c>
    </row>
    <row r="27" spans="1:14" x14ac:dyDescent="0.25">
      <c r="A27" s="31" t="s">
        <v>34</v>
      </c>
      <c r="B27" s="31" t="s">
        <v>157</v>
      </c>
      <c r="C27" s="31" t="s">
        <v>16</v>
      </c>
      <c r="D27" s="31" t="s">
        <v>17</v>
      </c>
      <c r="E27" s="31" t="s">
        <v>18</v>
      </c>
      <c r="F27" s="31">
        <v>85000</v>
      </c>
      <c r="G27" s="31">
        <v>1</v>
      </c>
      <c r="H27" s="31">
        <v>135</v>
      </c>
      <c r="I27" s="31">
        <v>19.75</v>
      </c>
      <c r="J27" s="31">
        <v>19.199235294117599</v>
      </c>
      <c r="M27" s="31">
        <v>-22100</v>
      </c>
      <c r="N27" s="31">
        <v>1678750</v>
      </c>
    </row>
    <row r="28" spans="1:14" x14ac:dyDescent="0.25">
      <c r="A28" s="31" t="s">
        <v>158</v>
      </c>
      <c r="B28" s="31" t="s">
        <v>159</v>
      </c>
      <c r="C28" s="31" t="s">
        <v>20</v>
      </c>
      <c r="D28" s="31" t="s">
        <v>17</v>
      </c>
      <c r="E28" s="31" t="s">
        <v>22</v>
      </c>
      <c r="F28" s="31">
        <v>140000</v>
      </c>
      <c r="G28" s="31">
        <v>0.93333333333333302</v>
      </c>
      <c r="H28" s="31">
        <v>35</v>
      </c>
      <c r="I28" s="31">
        <v>20.62</v>
      </c>
      <c r="J28" s="31">
        <v>15</v>
      </c>
      <c r="K28" s="31">
        <v>8</v>
      </c>
      <c r="L28" s="31">
        <v>12</v>
      </c>
      <c r="M28" s="31">
        <v>-117600</v>
      </c>
      <c r="N28" s="31">
        <v>2886800</v>
      </c>
    </row>
    <row r="29" spans="1:14" x14ac:dyDescent="0.25">
      <c r="A29" s="31" t="s">
        <v>160</v>
      </c>
      <c r="B29" s="31" t="s">
        <v>161</v>
      </c>
      <c r="C29" s="31" t="s">
        <v>20</v>
      </c>
      <c r="D29" s="31" t="s">
        <v>17</v>
      </c>
      <c r="E29" s="31" t="s">
        <v>50</v>
      </c>
      <c r="F29" s="31">
        <v>600</v>
      </c>
      <c r="G29" s="31">
        <v>8.5714285714285699E-4</v>
      </c>
      <c r="H29" s="31">
        <v>39</v>
      </c>
      <c r="I29" s="31">
        <v>22.25</v>
      </c>
      <c r="J29" s="31">
        <v>21.55</v>
      </c>
      <c r="K29" s="31">
        <v>20.5</v>
      </c>
      <c r="L29" s="31">
        <v>23.5</v>
      </c>
      <c r="M29" s="31">
        <v>77.999999999999702</v>
      </c>
      <c r="N29" s="31">
        <v>13350</v>
      </c>
    </row>
    <row r="30" spans="1:14" x14ac:dyDescent="0.25">
      <c r="A30" s="31" t="s">
        <v>35</v>
      </c>
      <c r="B30" s="31" t="s">
        <v>162</v>
      </c>
      <c r="C30" s="31" t="s">
        <v>16</v>
      </c>
      <c r="D30" s="31" t="s">
        <v>25</v>
      </c>
      <c r="E30" s="31" t="s">
        <v>33</v>
      </c>
      <c r="F30" s="31">
        <v>22600</v>
      </c>
      <c r="G30" s="31">
        <v>0.37666666666666698</v>
      </c>
      <c r="H30" s="31">
        <v>105</v>
      </c>
      <c r="I30" s="31">
        <v>35.9</v>
      </c>
      <c r="J30" s="31">
        <v>33.955950000000001</v>
      </c>
      <c r="M30" s="31">
        <v>-7910</v>
      </c>
      <c r="N30" s="31">
        <v>811340</v>
      </c>
    </row>
    <row r="31" spans="1:14" x14ac:dyDescent="0.25">
      <c r="A31" s="31" t="s">
        <v>402</v>
      </c>
      <c r="B31" s="31" t="s">
        <v>403</v>
      </c>
      <c r="C31" s="31" t="s">
        <v>20</v>
      </c>
      <c r="D31" s="31" t="s">
        <v>17</v>
      </c>
      <c r="E31" s="31" t="s">
        <v>47</v>
      </c>
      <c r="F31" s="31">
        <v>124400</v>
      </c>
      <c r="G31" s="31">
        <v>1</v>
      </c>
      <c r="H31" s="31">
        <v>1</v>
      </c>
      <c r="I31" s="31">
        <v>27.89</v>
      </c>
      <c r="J31" s="31">
        <v>28.3</v>
      </c>
      <c r="K31" s="31">
        <v>20.55</v>
      </c>
      <c r="L31" s="31">
        <v>25.1</v>
      </c>
      <c r="M31" s="31">
        <v>1419401.3</v>
      </c>
      <c r="N31" s="31">
        <v>3469516</v>
      </c>
    </row>
    <row r="32" spans="1:14" x14ac:dyDescent="0.25">
      <c r="A32" s="31" t="s">
        <v>37</v>
      </c>
      <c r="B32" s="31" t="s">
        <v>163</v>
      </c>
      <c r="C32" s="31" t="s">
        <v>16</v>
      </c>
      <c r="D32" s="31" t="s">
        <v>25</v>
      </c>
      <c r="E32" s="31" t="s">
        <v>31</v>
      </c>
      <c r="F32" s="31">
        <v>25000</v>
      </c>
      <c r="G32" s="31">
        <v>1</v>
      </c>
      <c r="H32" s="31">
        <v>73</v>
      </c>
      <c r="I32" s="31">
        <v>43.16</v>
      </c>
      <c r="J32" s="31">
        <v>42.696759999999998</v>
      </c>
      <c r="M32" s="31">
        <v>-14500</v>
      </c>
      <c r="N32" s="31">
        <v>1079000</v>
      </c>
    </row>
    <row r="33" spans="1:14" x14ac:dyDescent="0.25">
      <c r="A33" s="31" t="s">
        <v>164</v>
      </c>
      <c r="B33" s="31" t="s">
        <v>165</v>
      </c>
      <c r="C33" s="31" t="s">
        <v>16</v>
      </c>
      <c r="D33" s="31" t="s">
        <v>25</v>
      </c>
      <c r="E33" s="31" t="s">
        <v>31</v>
      </c>
      <c r="F33" s="31">
        <v>20000</v>
      </c>
      <c r="G33" s="31">
        <v>0.66666666666666696</v>
      </c>
      <c r="H33" s="31">
        <v>35</v>
      </c>
      <c r="I33" s="31">
        <v>51.63</v>
      </c>
      <c r="J33" s="31">
        <v>49.3280666666667</v>
      </c>
      <c r="M33" s="31">
        <v>-25400</v>
      </c>
      <c r="N33" s="31">
        <v>1032600</v>
      </c>
    </row>
    <row r="34" spans="1:14" x14ac:dyDescent="0.25">
      <c r="A34" s="31" t="s">
        <v>166</v>
      </c>
      <c r="B34" s="31" t="s">
        <v>167</v>
      </c>
      <c r="C34" s="31" t="s">
        <v>20</v>
      </c>
      <c r="D34" s="31" t="s">
        <v>17</v>
      </c>
      <c r="E34" s="31" t="s">
        <v>18</v>
      </c>
      <c r="F34" s="31">
        <v>40000</v>
      </c>
      <c r="G34" s="31">
        <v>0.266666666666667</v>
      </c>
      <c r="H34" s="31">
        <v>36</v>
      </c>
      <c r="I34" s="31">
        <v>23.2</v>
      </c>
      <c r="J34" s="31">
        <v>23.490853333333298</v>
      </c>
      <c r="K34" s="31">
        <v>12.9</v>
      </c>
      <c r="L34" s="31">
        <v>15.8</v>
      </c>
      <c r="M34" s="31">
        <v>40254.410600000003</v>
      </c>
      <c r="N34" s="31">
        <v>928000</v>
      </c>
    </row>
    <row r="35" spans="1:14" x14ac:dyDescent="0.25">
      <c r="A35" s="31" t="s">
        <v>38</v>
      </c>
      <c r="B35" s="31" t="s">
        <v>168</v>
      </c>
      <c r="C35" s="31" t="s">
        <v>16</v>
      </c>
      <c r="D35" s="31" t="s">
        <v>25</v>
      </c>
      <c r="E35" s="31" t="s">
        <v>31</v>
      </c>
      <c r="F35" s="31">
        <v>25000</v>
      </c>
      <c r="G35" s="31">
        <v>1</v>
      </c>
      <c r="H35" s="31">
        <v>51</v>
      </c>
      <c r="I35" s="31">
        <v>70.650000000000006</v>
      </c>
      <c r="J35" s="31">
        <v>68.599040000000002</v>
      </c>
      <c r="M35" s="31">
        <v>-6250</v>
      </c>
      <c r="N35" s="31">
        <v>1766250</v>
      </c>
    </row>
    <row r="36" spans="1:14" x14ac:dyDescent="0.25">
      <c r="A36" s="31" t="s">
        <v>169</v>
      </c>
      <c r="B36" s="31" t="s">
        <v>170</v>
      </c>
      <c r="C36" s="31" t="s">
        <v>16</v>
      </c>
      <c r="D36" s="31" t="s">
        <v>17</v>
      </c>
      <c r="E36" s="31" t="s">
        <v>31</v>
      </c>
      <c r="F36" s="31">
        <v>57500</v>
      </c>
      <c r="G36" s="31">
        <v>1</v>
      </c>
      <c r="H36" s="31">
        <v>24</v>
      </c>
      <c r="I36" s="31">
        <v>9.35</v>
      </c>
      <c r="J36" s="31">
        <v>9.0757217391304295</v>
      </c>
      <c r="M36" s="31">
        <v>10350</v>
      </c>
      <c r="N36" s="31">
        <v>537625</v>
      </c>
    </row>
    <row r="37" spans="1:14" x14ac:dyDescent="0.25">
      <c r="A37" s="31" t="s">
        <v>171</v>
      </c>
      <c r="B37" s="31" t="s">
        <v>172</v>
      </c>
      <c r="C37" s="31" t="s">
        <v>20</v>
      </c>
      <c r="D37" s="31" t="s">
        <v>21</v>
      </c>
      <c r="E37" s="31" t="s">
        <v>22</v>
      </c>
      <c r="F37" s="31">
        <v>144322</v>
      </c>
      <c r="G37" s="31">
        <v>0.59884647302904603</v>
      </c>
      <c r="H37" s="31">
        <v>15</v>
      </c>
      <c r="I37" s="31">
        <v>44.95</v>
      </c>
      <c r="J37" s="31">
        <v>40.5447302904564</v>
      </c>
      <c r="K37" s="31">
        <v>35.799999999999997</v>
      </c>
      <c r="L37" s="31">
        <v>43.8</v>
      </c>
      <c r="M37" s="31">
        <v>86651.921400000298</v>
      </c>
      <c r="N37" s="31">
        <v>6487273.9000000004</v>
      </c>
    </row>
    <row r="38" spans="1:14" x14ac:dyDescent="0.25">
      <c r="A38" s="31" t="s">
        <v>173</v>
      </c>
      <c r="B38" s="31" t="s">
        <v>174</v>
      </c>
      <c r="C38" s="31" t="s">
        <v>20</v>
      </c>
      <c r="D38" s="31" t="s">
        <v>25</v>
      </c>
      <c r="E38" s="31" t="s">
        <v>50</v>
      </c>
      <c r="F38" s="31">
        <v>250000</v>
      </c>
      <c r="G38" s="31">
        <v>1</v>
      </c>
      <c r="H38" s="31">
        <v>3</v>
      </c>
      <c r="I38" s="31">
        <v>19.45</v>
      </c>
      <c r="J38" s="31">
        <v>19.4663</v>
      </c>
      <c r="K38" s="31">
        <v>17</v>
      </c>
      <c r="L38" s="31">
        <v>22</v>
      </c>
      <c r="M38" s="31">
        <v>-49999.999999999898</v>
      </c>
      <c r="N38" s="31">
        <v>4862500</v>
      </c>
    </row>
    <row r="39" spans="1:14" x14ac:dyDescent="0.25">
      <c r="A39" s="31" t="s">
        <v>39</v>
      </c>
      <c r="B39" s="31" t="s">
        <v>175</v>
      </c>
      <c r="C39" s="31" t="s">
        <v>16</v>
      </c>
      <c r="D39" s="31" t="s">
        <v>21</v>
      </c>
      <c r="E39" s="31" t="s">
        <v>22</v>
      </c>
      <c r="F39" s="31">
        <v>8004</v>
      </c>
      <c r="G39" s="31">
        <v>1</v>
      </c>
      <c r="H39" s="31">
        <v>214</v>
      </c>
      <c r="I39" s="31">
        <v>13.08</v>
      </c>
      <c r="J39" s="31">
        <v>9.7185157421289396</v>
      </c>
      <c r="K39" s="31">
        <v>6.3</v>
      </c>
      <c r="L39" s="31">
        <v>7.7</v>
      </c>
      <c r="M39" s="31">
        <v>3841.92</v>
      </c>
      <c r="N39" s="31">
        <v>104692.32</v>
      </c>
    </row>
    <row r="40" spans="1:14" x14ac:dyDescent="0.25">
      <c r="A40" s="31" t="s">
        <v>176</v>
      </c>
      <c r="B40" s="31" t="s">
        <v>177</v>
      </c>
      <c r="C40" s="31" t="s">
        <v>23</v>
      </c>
      <c r="D40" s="31" t="s">
        <v>21</v>
      </c>
      <c r="E40" s="31" t="s">
        <v>22</v>
      </c>
      <c r="F40" s="31">
        <v>125000</v>
      </c>
      <c r="G40" s="31">
        <v>1</v>
      </c>
      <c r="H40" s="31">
        <v>2</v>
      </c>
      <c r="I40" s="31">
        <v>21.94</v>
      </c>
      <c r="J40" s="31">
        <v>19.395464</v>
      </c>
      <c r="K40" s="31">
        <v>20.81</v>
      </c>
      <c r="L40" s="31">
        <v>25.45</v>
      </c>
      <c r="M40" s="31">
        <v>-147500</v>
      </c>
      <c r="N40" s="31">
        <v>2742500</v>
      </c>
    </row>
    <row r="41" spans="1:14" x14ac:dyDescent="0.25">
      <c r="A41" s="31" t="s">
        <v>40</v>
      </c>
      <c r="B41" s="31" t="s">
        <v>178</v>
      </c>
      <c r="C41" s="31" t="s">
        <v>16</v>
      </c>
      <c r="D41" s="31" t="s">
        <v>25</v>
      </c>
      <c r="E41" s="31" t="s">
        <v>31</v>
      </c>
      <c r="F41" s="31">
        <v>45000</v>
      </c>
      <c r="G41" s="31">
        <v>0.75</v>
      </c>
      <c r="H41" s="31">
        <v>189</v>
      </c>
      <c r="I41" s="31">
        <v>49.84</v>
      </c>
      <c r="J41" s="31">
        <v>36.956316666666702</v>
      </c>
      <c r="K41" s="31">
        <v>33</v>
      </c>
      <c r="L41" s="31">
        <v>40.299999999999997</v>
      </c>
      <c r="M41" s="31">
        <v>1800</v>
      </c>
      <c r="N41" s="31">
        <v>2242800</v>
      </c>
    </row>
    <row r="42" spans="1:14" x14ac:dyDescent="0.25">
      <c r="A42" s="31" t="s">
        <v>404</v>
      </c>
      <c r="B42" s="31" t="s">
        <v>405</v>
      </c>
      <c r="C42" s="31" t="s">
        <v>23</v>
      </c>
      <c r="D42" s="31" t="s">
        <v>25</v>
      </c>
      <c r="F42" s="31">
        <v>502500</v>
      </c>
      <c r="G42" s="31">
        <v>1</v>
      </c>
      <c r="H42" s="31">
        <v>1</v>
      </c>
      <c r="I42" s="31">
        <v>13.64</v>
      </c>
      <c r="J42" s="31">
        <v>13.8584278606965</v>
      </c>
      <c r="M42" s="31">
        <v>-109759.9942</v>
      </c>
      <c r="N42" s="31">
        <v>6854100</v>
      </c>
    </row>
    <row r="43" spans="1:14" x14ac:dyDescent="0.25">
      <c r="A43" s="31" t="s">
        <v>41</v>
      </c>
      <c r="B43" s="31" t="s">
        <v>179</v>
      </c>
      <c r="C43" s="31" t="s">
        <v>16</v>
      </c>
      <c r="D43" s="31" t="s">
        <v>17</v>
      </c>
      <c r="E43" s="31" t="s">
        <v>18</v>
      </c>
      <c r="F43" s="31">
        <v>18767</v>
      </c>
      <c r="G43" s="31">
        <v>1</v>
      </c>
      <c r="H43" s="31">
        <v>91</v>
      </c>
      <c r="I43" s="31">
        <v>43.13</v>
      </c>
      <c r="J43" s="31">
        <v>38.035754249480497</v>
      </c>
      <c r="M43" s="31">
        <v>-12949.23</v>
      </c>
      <c r="N43" s="31">
        <v>809420.71</v>
      </c>
    </row>
    <row r="44" spans="1:14" x14ac:dyDescent="0.25">
      <c r="A44" s="31" t="s">
        <v>180</v>
      </c>
      <c r="B44" s="31" t="s">
        <v>181</v>
      </c>
      <c r="C44" s="31" t="s">
        <v>23</v>
      </c>
      <c r="D44" s="31" t="s">
        <v>17</v>
      </c>
      <c r="E44" s="31" t="s">
        <v>18</v>
      </c>
      <c r="F44" s="31">
        <v>1883619</v>
      </c>
      <c r="G44" s="31">
        <v>0.94010837389743296</v>
      </c>
      <c r="H44" s="31">
        <v>43</v>
      </c>
      <c r="I44" s="31">
        <v>21.2099993558333</v>
      </c>
      <c r="J44" s="31">
        <v>19.978134066406799</v>
      </c>
      <c r="K44" s="31">
        <v>18</v>
      </c>
      <c r="L44" s="31">
        <v>22</v>
      </c>
      <c r="M44" s="31">
        <v>151339.56000000099</v>
      </c>
      <c r="N44" s="31">
        <v>39951557.776635401</v>
      </c>
    </row>
    <row r="45" spans="1:14" x14ac:dyDescent="0.25">
      <c r="A45" s="31" t="s">
        <v>42</v>
      </c>
      <c r="B45" s="31" t="s">
        <v>182</v>
      </c>
      <c r="C45" s="31" t="s">
        <v>16</v>
      </c>
      <c r="D45" s="31" t="s">
        <v>17</v>
      </c>
      <c r="E45" s="31" t="s">
        <v>18</v>
      </c>
      <c r="F45" s="31">
        <v>75600</v>
      </c>
      <c r="G45" s="31">
        <v>1</v>
      </c>
      <c r="H45" s="31">
        <v>323</v>
      </c>
      <c r="I45" s="31">
        <v>26.21</v>
      </c>
      <c r="J45" s="31">
        <v>16.740052910052899</v>
      </c>
      <c r="K45" s="31">
        <v>13.4</v>
      </c>
      <c r="L45" s="31">
        <v>19</v>
      </c>
      <c r="M45" s="31">
        <v>-40824</v>
      </c>
      <c r="N45" s="31">
        <v>1981476</v>
      </c>
    </row>
    <row r="46" spans="1:14" x14ac:dyDescent="0.25">
      <c r="A46" s="31" t="s">
        <v>183</v>
      </c>
      <c r="B46" s="31" t="s">
        <v>184</v>
      </c>
      <c r="C46" s="31" t="s">
        <v>20</v>
      </c>
      <c r="D46" s="31" t="s">
        <v>17</v>
      </c>
      <c r="E46" s="31" t="s">
        <v>26</v>
      </c>
      <c r="F46" s="31">
        <v>110000</v>
      </c>
      <c r="G46" s="31">
        <v>1</v>
      </c>
      <c r="H46" s="31">
        <v>15</v>
      </c>
      <c r="I46" s="31">
        <v>79.84</v>
      </c>
      <c r="J46" s="31">
        <v>75.762200000000007</v>
      </c>
      <c r="K46" s="31">
        <v>68.2</v>
      </c>
      <c r="L46" s="31">
        <v>83.35</v>
      </c>
      <c r="M46" s="31">
        <v>-45099.999999999804</v>
      </c>
      <c r="N46" s="31">
        <v>8782400</v>
      </c>
    </row>
    <row r="47" spans="1:14" x14ac:dyDescent="0.25">
      <c r="A47" s="31" t="s">
        <v>185</v>
      </c>
      <c r="B47" s="31" t="s">
        <v>186</v>
      </c>
      <c r="C47" s="31" t="s">
        <v>23</v>
      </c>
      <c r="D47" s="31" t="s">
        <v>25</v>
      </c>
      <c r="E47" s="31" t="s">
        <v>31</v>
      </c>
      <c r="F47" s="31">
        <v>65000</v>
      </c>
      <c r="G47" s="31">
        <v>0.32500000000000001</v>
      </c>
      <c r="H47" s="31">
        <v>30</v>
      </c>
      <c r="I47" s="31">
        <v>21.259999968750002</v>
      </c>
      <c r="J47" s="31">
        <v>18.990414999999999</v>
      </c>
      <c r="K47" s="31">
        <v>17.100000000000001</v>
      </c>
      <c r="L47" s="31">
        <v>20.9</v>
      </c>
      <c r="M47" s="31">
        <v>-122394.9751</v>
      </c>
      <c r="N47" s="31">
        <v>1381899.9979687501</v>
      </c>
    </row>
    <row r="48" spans="1:14" x14ac:dyDescent="0.25">
      <c r="A48" s="31" t="s">
        <v>187</v>
      </c>
      <c r="B48" s="31" t="s">
        <v>188</v>
      </c>
      <c r="C48" s="31" t="s">
        <v>20</v>
      </c>
      <c r="D48" s="31" t="s">
        <v>17</v>
      </c>
      <c r="E48" s="31" t="s">
        <v>18</v>
      </c>
      <c r="F48" s="32">
        <v>500000</v>
      </c>
      <c r="G48" s="31">
        <v>1</v>
      </c>
      <c r="H48" s="31">
        <v>10</v>
      </c>
      <c r="I48" s="31">
        <v>35.729999999999997</v>
      </c>
      <c r="J48" s="31">
        <v>34.5</v>
      </c>
      <c r="K48" s="31">
        <v>31.1</v>
      </c>
      <c r="L48" s="31">
        <v>38</v>
      </c>
      <c r="M48" s="31">
        <v>-80000.0000000008</v>
      </c>
      <c r="N48" s="31">
        <v>17865000</v>
      </c>
    </row>
    <row r="49" spans="1:14" x14ac:dyDescent="0.25">
      <c r="A49" s="31" t="s">
        <v>189</v>
      </c>
      <c r="B49" s="31" t="s">
        <v>190</v>
      </c>
      <c r="C49" s="31" t="s">
        <v>20</v>
      </c>
      <c r="D49" s="31" t="s">
        <v>17</v>
      </c>
      <c r="E49" s="31" t="s">
        <v>18</v>
      </c>
      <c r="F49" s="31">
        <v>10000</v>
      </c>
      <c r="G49" s="31">
        <v>0.1</v>
      </c>
      <c r="H49" s="31">
        <v>30</v>
      </c>
      <c r="I49" s="31">
        <v>42.440000480000002</v>
      </c>
      <c r="J49" s="31">
        <v>41.300269999999998</v>
      </c>
      <c r="K49" s="31">
        <v>30</v>
      </c>
      <c r="L49" s="31">
        <v>40</v>
      </c>
      <c r="M49" s="31">
        <v>21122.339199999999</v>
      </c>
      <c r="N49" s="31">
        <v>424400.0048</v>
      </c>
    </row>
    <row r="50" spans="1:14" x14ac:dyDescent="0.25">
      <c r="A50" s="31" t="s">
        <v>43</v>
      </c>
      <c r="B50" s="31" t="s">
        <v>191</v>
      </c>
      <c r="C50" s="31" t="s">
        <v>16</v>
      </c>
      <c r="D50" s="31" t="s">
        <v>17</v>
      </c>
      <c r="E50" s="31" t="s">
        <v>19</v>
      </c>
      <c r="F50" s="31">
        <v>60406</v>
      </c>
      <c r="G50" s="31">
        <v>0.86294285714285701</v>
      </c>
      <c r="H50" s="31">
        <v>192</v>
      </c>
      <c r="I50" s="31">
        <v>15.8</v>
      </c>
      <c r="J50" s="31">
        <v>14.9674285714286</v>
      </c>
      <c r="K50" s="31">
        <v>12.5</v>
      </c>
      <c r="L50" s="31">
        <v>18</v>
      </c>
      <c r="M50" s="31">
        <v>-3624.36</v>
      </c>
      <c r="N50" s="31">
        <v>954414.8</v>
      </c>
    </row>
    <row r="51" spans="1:14" x14ac:dyDescent="0.25">
      <c r="A51" s="31" t="s">
        <v>192</v>
      </c>
      <c r="B51" s="31" t="s">
        <v>193</v>
      </c>
      <c r="C51" s="31" t="s">
        <v>16</v>
      </c>
      <c r="D51" s="31" t="s">
        <v>25</v>
      </c>
      <c r="E51" s="31" t="s">
        <v>31</v>
      </c>
      <c r="F51" s="31">
        <v>25000</v>
      </c>
      <c r="G51" s="31">
        <v>0.41666666666666702</v>
      </c>
      <c r="H51" s="31">
        <v>11</v>
      </c>
      <c r="I51" s="31">
        <v>21.8</v>
      </c>
      <c r="J51" s="31">
        <v>20.963799999999999</v>
      </c>
      <c r="K51" s="31">
        <v>16.899999999999999</v>
      </c>
      <c r="L51" s="31">
        <v>19.5</v>
      </c>
      <c r="M51" s="31">
        <v>-3750</v>
      </c>
      <c r="N51" s="31">
        <v>545000</v>
      </c>
    </row>
    <row r="52" spans="1:14" x14ac:dyDescent="0.25">
      <c r="A52" s="31" t="s">
        <v>194</v>
      </c>
      <c r="B52" s="31" t="s">
        <v>195</v>
      </c>
      <c r="C52" s="31" t="s">
        <v>23</v>
      </c>
      <c r="D52" s="31" t="s">
        <v>17</v>
      </c>
      <c r="E52" s="31" t="s">
        <v>18</v>
      </c>
      <c r="F52" s="32">
        <v>400000</v>
      </c>
      <c r="G52" s="31">
        <v>1</v>
      </c>
      <c r="H52" s="31">
        <v>10</v>
      </c>
      <c r="I52" s="31">
        <v>10.16</v>
      </c>
      <c r="J52" s="31">
        <v>10</v>
      </c>
      <c r="M52" s="31">
        <v>0</v>
      </c>
      <c r="N52" s="31">
        <v>4064000</v>
      </c>
    </row>
    <row r="53" spans="1:14" x14ac:dyDescent="0.25">
      <c r="A53" s="31" t="s">
        <v>44</v>
      </c>
      <c r="B53" s="31" t="s">
        <v>196</v>
      </c>
      <c r="C53" s="31" t="s">
        <v>16</v>
      </c>
      <c r="D53" s="31" t="s">
        <v>25</v>
      </c>
      <c r="E53" s="31" t="s">
        <v>31</v>
      </c>
      <c r="F53" s="31">
        <v>85000</v>
      </c>
      <c r="G53" s="31">
        <v>0.84296963325862295</v>
      </c>
      <c r="H53" s="31">
        <v>53</v>
      </c>
      <c r="I53" s="31">
        <v>35.28</v>
      </c>
      <c r="J53" s="31">
        <v>32.279727076184599</v>
      </c>
      <c r="K53" s="31">
        <v>27</v>
      </c>
      <c r="L53" s="31">
        <v>33</v>
      </c>
      <c r="M53" s="31">
        <v>67150</v>
      </c>
      <c r="N53" s="31">
        <v>2998800</v>
      </c>
    </row>
    <row r="54" spans="1:14" x14ac:dyDescent="0.25">
      <c r="A54" s="31" t="s">
        <v>45</v>
      </c>
      <c r="B54" s="31" t="s">
        <v>197</v>
      </c>
      <c r="C54" s="31" t="s">
        <v>16</v>
      </c>
      <c r="D54" s="31" t="s">
        <v>17</v>
      </c>
      <c r="E54" s="31" t="s">
        <v>31</v>
      </c>
      <c r="F54" s="31">
        <v>157032</v>
      </c>
      <c r="G54" s="31">
        <v>0.66618021381299897</v>
      </c>
      <c r="H54" s="31">
        <v>203</v>
      </c>
      <c r="I54" s="31">
        <v>73.58</v>
      </c>
      <c r="J54" s="31">
        <v>68.518958934328893</v>
      </c>
      <c r="K54" s="31">
        <v>50</v>
      </c>
      <c r="L54" s="31">
        <v>53</v>
      </c>
      <c r="M54" s="31">
        <v>-169466.57320000001</v>
      </c>
      <c r="N54" s="31">
        <v>11554414.560000001</v>
      </c>
    </row>
    <row r="55" spans="1:14" x14ac:dyDescent="0.25">
      <c r="A55" s="31" t="s">
        <v>198</v>
      </c>
      <c r="B55" s="31" t="s">
        <v>199</v>
      </c>
      <c r="C55" s="31" t="s">
        <v>20</v>
      </c>
      <c r="D55" s="31" t="s">
        <v>17</v>
      </c>
      <c r="E55" s="31" t="s">
        <v>19</v>
      </c>
      <c r="F55" s="31">
        <v>245000</v>
      </c>
      <c r="G55" s="31">
        <v>1</v>
      </c>
      <c r="H55" s="31">
        <v>7</v>
      </c>
      <c r="I55" s="31">
        <v>18.75</v>
      </c>
      <c r="J55" s="31">
        <v>18.001506122449001</v>
      </c>
      <c r="K55" s="31">
        <v>16.2</v>
      </c>
      <c r="L55" s="31">
        <v>19.8</v>
      </c>
      <c r="M55" s="31">
        <v>48999.999999999898</v>
      </c>
      <c r="N55" s="31">
        <v>4593750</v>
      </c>
    </row>
    <row r="56" spans="1:14" x14ac:dyDescent="0.25">
      <c r="A56" s="31" t="s">
        <v>200</v>
      </c>
      <c r="B56" s="31" t="s">
        <v>201</v>
      </c>
      <c r="C56" s="31" t="s">
        <v>20</v>
      </c>
      <c r="D56" s="31" t="s">
        <v>21</v>
      </c>
      <c r="E56" s="31" t="s">
        <v>22</v>
      </c>
      <c r="F56" s="32">
        <v>100000</v>
      </c>
      <c r="G56" s="31">
        <v>1</v>
      </c>
      <c r="H56" s="31">
        <v>3</v>
      </c>
      <c r="I56" s="31">
        <v>14.39</v>
      </c>
      <c r="J56" s="31">
        <v>15.09464</v>
      </c>
      <c r="M56" s="31">
        <v>18000</v>
      </c>
      <c r="N56" s="31">
        <v>1439000</v>
      </c>
    </row>
    <row r="57" spans="1:14" x14ac:dyDescent="0.25">
      <c r="A57" s="31" t="s">
        <v>202</v>
      </c>
      <c r="B57" s="31" t="s">
        <v>203</v>
      </c>
      <c r="C57" s="31" t="s">
        <v>20</v>
      </c>
      <c r="E57" s="31" t="s">
        <v>31</v>
      </c>
      <c r="F57" s="31">
        <v>115000</v>
      </c>
      <c r="G57" s="31">
        <v>1</v>
      </c>
      <c r="H57" s="31">
        <v>2</v>
      </c>
      <c r="I57" s="31">
        <v>56.04</v>
      </c>
      <c r="J57" s="31">
        <v>53.604817391304401</v>
      </c>
      <c r="K57" s="31">
        <v>26.5</v>
      </c>
      <c r="L57" s="31">
        <v>30.5</v>
      </c>
      <c r="M57" s="31">
        <v>288111.00209999998</v>
      </c>
      <c r="N57" s="31">
        <v>6444600</v>
      </c>
    </row>
    <row r="58" spans="1:14" x14ac:dyDescent="0.25">
      <c r="A58" s="31" t="s">
        <v>406</v>
      </c>
      <c r="B58" s="31" t="s">
        <v>407</v>
      </c>
      <c r="C58" s="31" t="s">
        <v>20</v>
      </c>
      <c r="D58" s="31" t="s">
        <v>25</v>
      </c>
      <c r="E58" s="31" t="s">
        <v>33</v>
      </c>
      <c r="F58" s="32">
        <v>300000</v>
      </c>
      <c r="G58" s="31">
        <v>1</v>
      </c>
      <c r="H58" s="31">
        <v>1</v>
      </c>
      <c r="I58" s="31">
        <v>62.15</v>
      </c>
      <c r="J58" s="31">
        <v>63.011299999999999</v>
      </c>
      <c r="M58" s="31">
        <v>-258390.00829999999</v>
      </c>
      <c r="N58" s="31">
        <v>18645000</v>
      </c>
    </row>
    <row r="59" spans="1:14" x14ac:dyDescent="0.25">
      <c r="A59" s="31" t="s">
        <v>46</v>
      </c>
      <c r="B59" s="31" t="s">
        <v>204</v>
      </c>
      <c r="C59" s="31" t="s">
        <v>16</v>
      </c>
      <c r="D59" s="31" t="s">
        <v>17</v>
      </c>
      <c r="E59" s="31" t="s">
        <v>47</v>
      </c>
      <c r="F59" s="31">
        <v>110546</v>
      </c>
      <c r="G59" s="31">
        <v>1</v>
      </c>
      <c r="H59" s="31">
        <v>155</v>
      </c>
      <c r="I59" s="31">
        <v>17.25</v>
      </c>
      <c r="J59" s="31">
        <v>17.5119588225716</v>
      </c>
      <c r="K59" s="31">
        <v>12.75</v>
      </c>
      <c r="L59" s="31">
        <v>18</v>
      </c>
      <c r="M59" s="31">
        <v>-16581.900000000001</v>
      </c>
      <c r="N59" s="31">
        <v>1906918.5</v>
      </c>
    </row>
    <row r="60" spans="1:14" x14ac:dyDescent="0.25">
      <c r="A60" s="31" t="s">
        <v>205</v>
      </c>
      <c r="B60" s="31" t="s">
        <v>206</v>
      </c>
      <c r="C60" s="31" t="s">
        <v>23</v>
      </c>
      <c r="D60" s="31" t="s">
        <v>17</v>
      </c>
      <c r="E60" s="31" t="s">
        <v>18</v>
      </c>
      <c r="F60" s="32">
        <v>500000</v>
      </c>
      <c r="G60" s="31">
        <v>1</v>
      </c>
      <c r="H60" s="31">
        <v>14</v>
      </c>
      <c r="I60" s="31">
        <v>10.25</v>
      </c>
      <c r="J60" s="31">
        <v>10</v>
      </c>
      <c r="M60" s="31">
        <v>19999.9999999998</v>
      </c>
      <c r="N60" s="31">
        <v>5125000</v>
      </c>
    </row>
    <row r="61" spans="1:14" x14ac:dyDescent="0.25">
      <c r="A61" s="31" t="s">
        <v>207</v>
      </c>
      <c r="B61" s="31" t="s">
        <v>208</v>
      </c>
      <c r="C61" s="31" t="s">
        <v>23</v>
      </c>
      <c r="D61" s="31" t="s">
        <v>25</v>
      </c>
      <c r="E61" s="31" t="s">
        <v>31</v>
      </c>
      <c r="F61" s="31">
        <v>674478</v>
      </c>
      <c r="G61" s="31">
        <v>0.74941999999999998</v>
      </c>
      <c r="H61" s="31">
        <v>29</v>
      </c>
      <c r="I61" s="31">
        <v>23.69</v>
      </c>
      <c r="J61" s="31">
        <v>23.6567988888889</v>
      </c>
      <c r="K61" s="31">
        <v>21.3</v>
      </c>
      <c r="L61" s="31">
        <v>26</v>
      </c>
      <c r="M61" s="31">
        <v>-49376.035599999697</v>
      </c>
      <c r="N61" s="31">
        <v>15978383.82</v>
      </c>
    </row>
    <row r="62" spans="1:14" x14ac:dyDescent="0.25">
      <c r="A62" s="31" t="s">
        <v>209</v>
      </c>
      <c r="B62" s="31" t="s">
        <v>210</v>
      </c>
      <c r="C62" s="31" t="s">
        <v>20</v>
      </c>
      <c r="D62" s="31" t="s">
        <v>17</v>
      </c>
      <c r="E62" s="31" t="s">
        <v>29</v>
      </c>
      <c r="F62" s="32">
        <v>300000</v>
      </c>
      <c r="G62" s="31">
        <v>1.0032941491229499</v>
      </c>
      <c r="H62" s="31">
        <v>10</v>
      </c>
      <c r="I62" s="31">
        <v>25.110009420000001</v>
      </c>
      <c r="J62" s="31">
        <v>28.5859338160293</v>
      </c>
      <c r="K62" s="31">
        <v>17</v>
      </c>
      <c r="L62" s="31">
        <v>25</v>
      </c>
      <c r="M62" s="31">
        <v>-204000</v>
      </c>
      <c r="N62" s="31">
        <v>7533002.8260000004</v>
      </c>
    </row>
    <row r="63" spans="1:14" x14ac:dyDescent="0.25">
      <c r="A63" s="31" t="s">
        <v>211</v>
      </c>
      <c r="B63" s="31" t="s">
        <v>212</v>
      </c>
      <c r="C63" s="31" t="s">
        <v>20</v>
      </c>
      <c r="D63" s="31" t="s">
        <v>17</v>
      </c>
      <c r="E63" s="31" t="s">
        <v>18</v>
      </c>
      <c r="F63" s="31">
        <v>141664</v>
      </c>
      <c r="G63" s="31">
        <v>0.80950857142857102</v>
      </c>
      <c r="H63" s="31">
        <v>22</v>
      </c>
      <c r="I63" s="31">
        <v>51.86</v>
      </c>
      <c r="J63" s="31">
        <v>49.195085714285703</v>
      </c>
      <c r="K63" s="31">
        <v>27</v>
      </c>
      <c r="L63" s="31">
        <v>33</v>
      </c>
      <c r="M63" s="31">
        <v>-93498.240000000194</v>
      </c>
      <c r="N63" s="31">
        <v>7346695.04</v>
      </c>
    </row>
    <row r="64" spans="1:14" x14ac:dyDescent="0.25">
      <c r="A64" s="31" t="s">
        <v>48</v>
      </c>
      <c r="B64" s="31" t="s">
        <v>49</v>
      </c>
      <c r="C64" s="31" t="s">
        <v>16</v>
      </c>
      <c r="D64" s="31" t="s">
        <v>25</v>
      </c>
      <c r="E64" s="31" t="s">
        <v>31</v>
      </c>
      <c r="F64" s="31">
        <v>68899</v>
      </c>
      <c r="G64" s="31">
        <v>0.98427142857142902</v>
      </c>
      <c r="H64" s="31">
        <v>91</v>
      </c>
      <c r="I64" s="31">
        <v>11.24</v>
      </c>
      <c r="J64" s="31">
        <v>11.570271428571401</v>
      </c>
      <c r="M64" s="31">
        <v>15846.77</v>
      </c>
      <c r="N64" s="31">
        <v>774424.76</v>
      </c>
    </row>
    <row r="65" spans="1:14" x14ac:dyDescent="0.25">
      <c r="A65" s="31" t="s">
        <v>213</v>
      </c>
      <c r="B65" s="31" t="s">
        <v>214</v>
      </c>
      <c r="C65" s="31" t="s">
        <v>20</v>
      </c>
      <c r="D65" s="31" t="s">
        <v>17</v>
      </c>
      <c r="E65" s="31" t="s">
        <v>33</v>
      </c>
      <c r="F65" s="31">
        <v>275000</v>
      </c>
      <c r="G65" s="31">
        <v>1</v>
      </c>
      <c r="H65" s="31">
        <v>10</v>
      </c>
      <c r="I65" s="31">
        <v>36.83</v>
      </c>
      <c r="J65" s="31">
        <v>37.9</v>
      </c>
      <c r="K65" s="31">
        <v>34.1</v>
      </c>
      <c r="L65" s="31">
        <v>41.7</v>
      </c>
      <c r="M65" s="31">
        <v>93499.999999999607</v>
      </c>
      <c r="N65" s="31">
        <v>10128250</v>
      </c>
    </row>
    <row r="66" spans="1:14" x14ac:dyDescent="0.25">
      <c r="A66" s="31" t="s">
        <v>215</v>
      </c>
      <c r="B66" s="31" t="s">
        <v>216</v>
      </c>
      <c r="C66" s="31" t="s">
        <v>20</v>
      </c>
      <c r="D66" s="31" t="s">
        <v>17</v>
      </c>
      <c r="E66" s="31" t="s">
        <v>217</v>
      </c>
      <c r="F66" s="31">
        <v>245000</v>
      </c>
      <c r="G66" s="31">
        <v>2.4500000000000002</v>
      </c>
      <c r="H66" s="31">
        <v>10</v>
      </c>
      <c r="I66" s="31">
        <v>19.559999999999999</v>
      </c>
      <c r="J66" s="31">
        <v>37.67944</v>
      </c>
      <c r="K66" s="31">
        <v>13.4</v>
      </c>
      <c r="L66" s="31">
        <v>16.350000000000001</v>
      </c>
      <c r="M66" s="31">
        <v>58799.999999999898</v>
      </c>
      <c r="N66" s="31">
        <v>4792200</v>
      </c>
    </row>
    <row r="67" spans="1:14" x14ac:dyDescent="0.25">
      <c r="A67" s="31" t="s">
        <v>51</v>
      </c>
      <c r="B67" s="31" t="s">
        <v>218</v>
      </c>
      <c r="C67" s="31" t="s">
        <v>20</v>
      </c>
      <c r="D67" s="31" t="s">
        <v>21</v>
      </c>
      <c r="E67" s="31" t="s">
        <v>22</v>
      </c>
      <c r="F67" s="31">
        <v>16955</v>
      </c>
      <c r="G67" s="31">
        <v>0.16787128712871299</v>
      </c>
      <c r="H67" s="31">
        <v>49</v>
      </c>
      <c r="I67" s="31">
        <v>30.99</v>
      </c>
      <c r="J67" s="31">
        <v>34</v>
      </c>
      <c r="K67" s="31">
        <v>19</v>
      </c>
      <c r="L67" s="31">
        <v>20</v>
      </c>
      <c r="M67" s="31">
        <v>-13828.8604</v>
      </c>
      <c r="N67" s="31">
        <v>525435.44999999995</v>
      </c>
    </row>
    <row r="68" spans="1:14" x14ac:dyDescent="0.25">
      <c r="A68" s="31" t="s">
        <v>408</v>
      </c>
      <c r="B68" s="31" t="s">
        <v>409</v>
      </c>
      <c r="C68" s="31" t="s">
        <v>23</v>
      </c>
      <c r="D68" s="31" t="s">
        <v>25</v>
      </c>
      <c r="F68" s="31">
        <v>70000</v>
      </c>
      <c r="G68" s="31">
        <v>1</v>
      </c>
      <c r="H68" s="31">
        <v>1</v>
      </c>
      <c r="I68" s="31">
        <v>18.350000000000001</v>
      </c>
      <c r="J68" s="31">
        <v>14.49</v>
      </c>
      <c r="M68" s="31">
        <v>270199.995</v>
      </c>
      <c r="N68" s="31">
        <v>1284500</v>
      </c>
    </row>
    <row r="69" spans="1:14" x14ac:dyDescent="0.25">
      <c r="A69" s="31" t="s">
        <v>219</v>
      </c>
      <c r="B69" s="31" t="s">
        <v>220</v>
      </c>
      <c r="C69" s="31" t="s">
        <v>20</v>
      </c>
      <c r="D69" s="31" t="s">
        <v>21</v>
      </c>
      <c r="E69" s="31" t="s">
        <v>22</v>
      </c>
      <c r="F69" s="31">
        <v>275000</v>
      </c>
      <c r="G69" s="31">
        <v>1</v>
      </c>
      <c r="H69" s="31">
        <v>15</v>
      </c>
      <c r="I69" s="31">
        <v>11.68</v>
      </c>
      <c r="J69" s="31">
        <v>11.002694545454499</v>
      </c>
      <c r="K69" s="31">
        <v>9.9</v>
      </c>
      <c r="L69" s="31">
        <v>12.1</v>
      </c>
      <c r="M69" s="31">
        <v>129250</v>
      </c>
      <c r="N69" s="31">
        <v>3212000</v>
      </c>
    </row>
    <row r="70" spans="1:14" x14ac:dyDescent="0.25">
      <c r="A70" s="31" t="s">
        <v>221</v>
      </c>
      <c r="B70" s="31" t="s">
        <v>222</v>
      </c>
      <c r="C70" s="31" t="s">
        <v>20</v>
      </c>
      <c r="D70" s="31" t="s">
        <v>21</v>
      </c>
      <c r="E70" s="31" t="s">
        <v>22</v>
      </c>
      <c r="F70" s="31">
        <v>250000</v>
      </c>
      <c r="G70" s="31">
        <v>1</v>
      </c>
      <c r="H70" s="31">
        <v>9</v>
      </c>
      <c r="I70" s="31">
        <v>24.88</v>
      </c>
      <c r="J70" s="31">
        <v>24.113507999999999</v>
      </c>
      <c r="K70" s="31">
        <v>21.7</v>
      </c>
      <c r="L70" s="31">
        <v>26.5</v>
      </c>
      <c r="M70" s="31">
        <v>-117500</v>
      </c>
      <c r="N70" s="31">
        <v>6220000</v>
      </c>
    </row>
    <row r="71" spans="1:14" x14ac:dyDescent="0.25">
      <c r="A71" s="31" t="s">
        <v>223</v>
      </c>
      <c r="B71" s="31" t="s">
        <v>224</v>
      </c>
      <c r="C71" s="31" t="s">
        <v>20</v>
      </c>
      <c r="D71" s="31" t="s">
        <v>17</v>
      </c>
      <c r="E71" s="31" t="s">
        <v>18</v>
      </c>
      <c r="F71" s="31">
        <v>80000</v>
      </c>
      <c r="G71" s="31">
        <v>1</v>
      </c>
      <c r="H71" s="31">
        <v>15</v>
      </c>
      <c r="I71" s="31">
        <v>34.85</v>
      </c>
      <c r="J71" s="31">
        <v>33.333024999999999</v>
      </c>
      <c r="K71" s="31">
        <v>30</v>
      </c>
      <c r="L71" s="31">
        <v>36.6</v>
      </c>
      <c r="M71" s="31">
        <v>0</v>
      </c>
      <c r="N71" s="31">
        <v>2788000</v>
      </c>
    </row>
    <row r="72" spans="1:14" x14ac:dyDescent="0.25">
      <c r="A72" s="31" t="s">
        <v>225</v>
      </c>
      <c r="B72" s="31" t="s">
        <v>226</v>
      </c>
      <c r="C72" s="31" t="s">
        <v>20</v>
      </c>
      <c r="D72" s="31" t="s">
        <v>17</v>
      </c>
      <c r="E72" s="31" t="s">
        <v>22</v>
      </c>
      <c r="F72" s="31">
        <v>164276</v>
      </c>
      <c r="G72" s="31">
        <v>0.43230526315789503</v>
      </c>
      <c r="H72" s="31">
        <v>9</v>
      </c>
      <c r="I72" s="31">
        <v>104.73</v>
      </c>
      <c r="J72" s="31">
        <v>103.369234210526</v>
      </c>
      <c r="K72" s="31">
        <v>93</v>
      </c>
      <c r="L72" s="31">
        <v>113.7</v>
      </c>
      <c r="M72" s="31">
        <v>-157196.3352</v>
      </c>
      <c r="N72" s="31">
        <v>17204625.48</v>
      </c>
    </row>
    <row r="73" spans="1:14" x14ac:dyDescent="0.25">
      <c r="A73" s="31" t="s">
        <v>52</v>
      </c>
      <c r="B73" s="31" t="s">
        <v>53</v>
      </c>
      <c r="C73" s="31" t="s">
        <v>16</v>
      </c>
      <c r="D73" s="31" t="s">
        <v>17</v>
      </c>
      <c r="E73" s="31" t="s">
        <v>22</v>
      </c>
      <c r="F73" s="31">
        <v>5576</v>
      </c>
      <c r="G73" s="31">
        <v>1</v>
      </c>
      <c r="H73" s="31">
        <v>214</v>
      </c>
      <c r="I73" s="31">
        <v>19.350000000000001</v>
      </c>
      <c r="J73" s="31">
        <v>13.055954088952699</v>
      </c>
      <c r="M73" s="31">
        <v>2230.4</v>
      </c>
      <c r="N73" s="31">
        <v>107895.6</v>
      </c>
    </row>
    <row r="74" spans="1:14" x14ac:dyDescent="0.25">
      <c r="A74" s="31" t="s">
        <v>227</v>
      </c>
      <c r="B74" s="31" t="s">
        <v>228</v>
      </c>
      <c r="C74" s="31" t="s">
        <v>23</v>
      </c>
      <c r="D74" s="31" t="s">
        <v>21</v>
      </c>
      <c r="E74" s="31" t="s">
        <v>22</v>
      </c>
      <c r="F74" s="31">
        <v>41717</v>
      </c>
      <c r="G74" s="31">
        <v>0.108464308464308</v>
      </c>
      <c r="H74" s="31">
        <v>28</v>
      </c>
      <c r="I74" s="31">
        <v>12</v>
      </c>
      <c r="J74" s="31">
        <v>13</v>
      </c>
      <c r="K74" s="31">
        <v>11.7</v>
      </c>
      <c r="L74" s="31">
        <v>14.3</v>
      </c>
      <c r="M74" s="31">
        <v>-28964.024799999999</v>
      </c>
      <c r="N74" s="31">
        <v>500604</v>
      </c>
    </row>
    <row r="75" spans="1:14" x14ac:dyDescent="0.25">
      <c r="A75" s="31" t="s">
        <v>229</v>
      </c>
      <c r="B75" s="31" t="s">
        <v>230</v>
      </c>
      <c r="C75" s="31" t="s">
        <v>20</v>
      </c>
      <c r="D75" s="31" t="s">
        <v>25</v>
      </c>
      <c r="E75" s="31" t="s">
        <v>50</v>
      </c>
      <c r="F75" s="31">
        <v>50000</v>
      </c>
      <c r="G75" s="31">
        <v>1</v>
      </c>
      <c r="H75" s="31">
        <v>10</v>
      </c>
      <c r="I75" s="31">
        <v>18.88</v>
      </c>
      <c r="J75" s="31">
        <v>18.5</v>
      </c>
      <c r="K75" s="31">
        <v>16.7</v>
      </c>
      <c r="L75" s="31">
        <v>20.399999999999999</v>
      </c>
      <c r="M75" s="31">
        <v>-8500.00000000004</v>
      </c>
      <c r="N75" s="31">
        <v>944000</v>
      </c>
    </row>
    <row r="76" spans="1:14" x14ac:dyDescent="0.25">
      <c r="A76" s="31" t="s">
        <v>231</v>
      </c>
      <c r="B76" s="31" t="s">
        <v>232</v>
      </c>
      <c r="C76" s="31" t="s">
        <v>20</v>
      </c>
      <c r="D76" s="31" t="s">
        <v>17</v>
      </c>
      <c r="E76" s="31" t="s">
        <v>22</v>
      </c>
      <c r="F76" s="32">
        <v>600000</v>
      </c>
      <c r="G76" s="31">
        <v>1</v>
      </c>
      <c r="H76" s="31">
        <v>10</v>
      </c>
      <c r="I76" s="31">
        <v>3.72</v>
      </c>
      <c r="J76" s="31">
        <v>3.6425466666666702</v>
      </c>
      <c r="K76" s="31">
        <v>3.25</v>
      </c>
      <c r="L76" s="31">
        <v>4.0999999999999996</v>
      </c>
      <c r="M76" s="31">
        <v>-23999.999999999902</v>
      </c>
      <c r="N76" s="31">
        <v>2232000</v>
      </c>
    </row>
    <row r="77" spans="1:14" x14ac:dyDescent="0.25">
      <c r="A77" s="31" t="s">
        <v>233</v>
      </c>
      <c r="B77" s="31" t="s">
        <v>234</v>
      </c>
      <c r="C77" s="31" t="s">
        <v>20</v>
      </c>
      <c r="D77" s="31" t="s">
        <v>21</v>
      </c>
      <c r="E77" s="31" t="s">
        <v>22</v>
      </c>
      <c r="F77" s="32">
        <v>100000</v>
      </c>
      <c r="G77" s="31">
        <v>1</v>
      </c>
      <c r="H77" s="31">
        <v>2</v>
      </c>
      <c r="I77" s="31">
        <v>10.65</v>
      </c>
      <c r="J77" s="31">
        <v>9.5</v>
      </c>
      <c r="M77" s="31">
        <v>15000</v>
      </c>
      <c r="N77" s="31">
        <v>1065000</v>
      </c>
    </row>
    <row r="78" spans="1:14" x14ac:dyDescent="0.25">
      <c r="A78" s="31" t="s">
        <v>54</v>
      </c>
      <c r="B78" s="31" t="s">
        <v>235</v>
      </c>
      <c r="C78" s="31" t="s">
        <v>16</v>
      </c>
      <c r="D78" s="31" t="s">
        <v>17</v>
      </c>
      <c r="E78" s="31" t="s">
        <v>18</v>
      </c>
      <c r="F78" s="32">
        <v>100000</v>
      </c>
      <c r="G78" s="31">
        <v>1</v>
      </c>
      <c r="H78" s="31">
        <v>115</v>
      </c>
      <c r="I78" s="31">
        <v>24.57</v>
      </c>
      <c r="J78" s="31">
        <v>21.797879999999999</v>
      </c>
      <c r="K78" s="31">
        <v>13</v>
      </c>
      <c r="L78" s="31">
        <v>15</v>
      </c>
      <c r="M78" s="31">
        <v>29000</v>
      </c>
      <c r="N78" s="31">
        <v>2457000</v>
      </c>
    </row>
    <row r="79" spans="1:14" x14ac:dyDescent="0.25">
      <c r="A79" s="31" t="s">
        <v>410</v>
      </c>
      <c r="B79" s="31" t="s">
        <v>411</v>
      </c>
      <c r="C79" s="31" t="s">
        <v>23</v>
      </c>
      <c r="D79" s="31" t="s">
        <v>21</v>
      </c>
      <c r="F79" s="32">
        <v>100000</v>
      </c>
      <c r="G79" s="31">
        <v>1</v>
      </c>
      <c r="H79" s="31">
        <v>1</v>
      </c>
      <c r="I79" s="31">
        <v>17.75</v>
      </c>
      <c r="J79" s="31">
        <v>16.935500000000001</v>
      </c>
      <c r="M79" s="31">
        <v>81449.991999999998</v>
      </c>
      <c r="N79" s="31">
        <v>1775000</v>
      </c>
    </row>
    <row r="80" spans="1:14" x14ac:dyDescent="0.25">
      <c r="A80" s="31" t="s">
        <v>55</v>
      </c>
      <c r="B80" s="31" t="s">
        <v>236</v>
      </c>
      <c r="C80" s="31" t="s">
        <v>23</v>
      </c>
      <c r="D80" s="31" t="s">
        <v>237</v>
      </c>
      <c r="E80" s="31" t="s">
        <v>18</v>
      </c>
      <c r="F80" s="31">
        <v>24000</v>
      </c>
      <c r="G80" s="31">
        <v>0.76699370426001101</v>
      </c>
      <c r="H80" s="31">
        <v>63</v>
      </c>
      <c r="I80" s="31">
        <v>27.17</v>
      </c>
      <c r="J80" s="31">
        <v>28.772586366686902</v>
      </c>
      <c r="K80" s="31">
        <v>25.9</v>
      </c>
      <c r="L80" s="31">
        <v>31.65</v>
      </c>
      <c r="M80" s="31">
        <v>-3600</v>
      </c>
      <c r="N80" s="31">
        <v>652080</v>
      </c>
    </row>
    <row r="81" spans="1:14" x14ac:dyDescent="0.25">
      <c r="A81" s="31" t="s">
        <v>412</v>
      </c>
      <c r="B81" s="31" t="s">
        <v>413</v>
      </c>
      <c r="C81" s="31" t="s">
        <v>20</v>
      </c>
      <c r="D81" s="31" t="s">
        <v>17</v>
      </c>
      <c r="F81" s="31">
        <v>70851</v>
      </c>
      <c r="G81" s="31">
        <v>0.56680799999999998</v>
      </c>
      <c r="H81" s="31">
        <v>1</v>
      </c>
      <c r="I81" s="31">
        <v>25.63</v>
      </c>
      <c r="J81" s="31">
        <v>22</v>
      </c>
      <c r="M81" s="31">
        <v>257189.13</v>
      </c>
      <c r="N81" s="31">
        <v>1815911.13</v>
      </c>
    </row>
    <row r="82" spans="1:14" x14ac:dyDescent="0.25">
      <c r="A82" s="31" t="s">
        <v>56</v>
      </c>
      <c r="B82" s="31" t="s">
        <v>238</v>
      </c>
      <c r="C82" s="31" t="s">
        <v>16</v>
      </c>
      <c r="D82" s="31" t="s">
        <v>25</v>
      </c>
      <c r="E82" s="31" t="s">
        <v>31</v>
      </c>
      <c r="F82" s="31">
        <v>15500</v>
      </c>
      <c r="G82" s="31">
        <v>0.56363636363636405</v>
      </c>
      <c r="H82" s="31">
        <v>226</v>
      </c>
      <c r="I82" s="31">
        <v>111.4</v>
      </c>
      <c r="J82" s="31">
        <v>118.791418181818</v>
      </c>
      <c r="K82" s="31">
        <v>106.4</v>
      </c>
      <c r="L82" s="31">
        <v>130</v>
      </c>
      <c r="M82" s="31">
        <v>-20925</v>
      </c>
      <c r="N82" s="31">
        <v>1726700</v>
      </c>
    </row>
    <row r="83" spans="1:14" x14ac:dyDescent="0.25">
      <c r="A83" s="31" t="s">
        <v>239</v>
      </c>
      <c r="B83" s="31" t="s">
        <v>240</v>
      </c>
      <c r="C83" s="31" t="s">
        <v>16</v>
      </c>
      <c r="D83" s="31" t="s">
        <v>25</v>
      </c>
      <c r="E83" s="31" t="s">
        <v>31</v>
      </c>
      <c r="F83" s="31">
        <v>25000</v>
      </c>
      <c r="G83" s="31">
        <v>0.5</v>
      </c>
      <c r="H83" s="31">
        <v>16</v>
      </c>
      <c r="I83" s="31">
        <v>42.35</v>
      </c>
      <c r="J83" s="31">
        <v>39.638100000000001</v>
      </c>
      <c r="K83" s="31">
        <v>25.5</v>
      </c>
      <c r="L83" s="31">
        <v>30.75</v>
      </c>
      <c r="M83" s="31">
        <v>15000</v>
      </c>
      <c r="N83" s="31">
        <v>1058750</v>
      </c>
    </row>
    <row r="84" spans="1:14" x14ac:dyDescent="0.25">
      <c r="A84" s="31" t="s">
        <v>241</v>
      </c>
      <c r="B84" s="31" t="s">
        <v>242</v>
      </c>
      <c r="C84" s="31" t="s">
        <v>20</v>
      </c>
      <c r="D84" s="31" t="s">
        <v>21</v>
      </c>
      <c r="E84" s="31" t="s">
        <v>22</v>
      </c>
      <c r="F84" s="31">
        <v>5000</v>
      </c>
      <c r="G84" s="31">
        <v>0.5</v>
      </c>
      <c r="H84" s="31">
        <v>15</v>
      </c>
      <c r="I84" s="31">
        <v>285.35000000000002</v>
      </c>
      <c r="J84" s="31">
        <v>304.14</v>
      </c>
      <c r="K84" s="31">
        <v>125</v>
      </c>
      <c r="L84" s="31">
        <v>130</v>
      </c>
      <c r="M84" s="31">
        <v>-83349.999999999898</v>
      </c>
      <c r="N84" s="31">
        <v>1426750</v>
      </c>
    </row>
    <row r="85" spans="1:14" x14ac:dyDescent="0.25">
      <c r="A85" s="31" t="s">
        <v>414</v>
      </c>
      <c r="B85" s="31" t="s">
        <v>415</v>
      </c>
      <c r="C85" s="31" t="s">
        <v>23</v>
      </c>
      <c r="D85" s="31" t="s">
        <v>21</v>
      </c>
      <c r="F85" s="31">
        <v>137500</v>
      </c>
      <c r="G85" s="31">
        <v>1</v>
      </c>
      <c r="H85" s="31">
        <v>1</v>
      </c>
      <c r="I85" s="31">
        <v>14.52</v>
      </c>
      <c r="J85" s="31">
        <v>15.1554036363636</v>
      </c>
      <c r="M85" s="31">
        <v>-87368.005600000106</v>
      </c>
      <c r="N85" s="31">
        <v>1996500</v>
      </c>
    </row>
    <row r="86" spans="1:14" x14ac:dyDescent="0.25">
      <c r="A86" s="31" t="s">
        <v>243</v>
      </c>
      <c r="B86" s="31" t="s">
        <v>244</v>
      </c>
      <c r="C86" s="31" t="s">
        <v>23</v>
      </c>
      <c r="D86" s="31" t="s">
        <v>21</v>
      </c>
      <c r="E86" s="31" t="s">
        <v>22</v>
      </c>
      <c r="F86" s="31">
        <v>84959</v>
      </c>
      <c r="G86" s="31">
        <v>0.84958999999999996</v>
      </c>
      <c r="H86" s="31">
        <v>14</v>
      </c>
      <c r="I86" s="31">
        <v>12.79</v>
      </c>
      <c r="J86" s="31">
        <v>15</v>
      </c>
      <c r="K86" s="31">
        <v>13.5</v>
      </c>
      <c r="L86" s="31">
        <v>16.5</v>
      </c>
      <c r="M86" s="31">
        <v>-155069.38939999999</v>
      </c>
      <c r="N86" s="31">
        <v>1086625.6100000001</v>
      </c>
    </row>
    <row r="87" spans="1:14" x14ac:dyDescent="0.25">
      <c r="A87" s="31" t="s">
        <v>245</v>
      </c>
      <c r="B87" s="31" t="s">
        <v>246</v>
      </c>
      <c r="C87" s="31" t="s">
        <v>20</v>
      </c>
      <c r="D87" s="31" t="s">
        <v>21</v>
      </c>
      <c r="E87" s="31" t="s">
        <v>22</v>
      </c>
      <c r="F87" s="32">
        <v>400000</v>
      </c>
      <c r="G87" s="31">
        <v>1</v>
      </c>
      <c r="H87" s="31">
        <v>29</v>
      </c>
      <c r="I87" s="31">
        <v>7.45</v>
      </c>
      <c r="J87" s="31">
        <v>5</v>
      </c>
      <c r="K87" s="31">
        <v>4.5</v>
      </c>
      <c r="L87" s="31">
        <v>5.5</v>
      </c>
      <c r="M87" s="32">
        <v>-200000</v>
      </c>
      <c r="N87" s="31">
        <v>2980000</v>
      </c>
    </row>
    <row r="88" spans="1:14" x14ac:dyDescent="0.25">
      <c r="A88" s="31" t="s">
        <v>247</v>
      </c>
      <c r="B88" s="31" t="s">
        <v>248</v>
      </c>
      <c r="C88" s="31" t="s">
        <v>20</v>
      </c>
      <c r="D88" s="31" t="s">
        <v>21</v>
      </c>
      <c r="E88" s="31" t="s">
        <v>22</v>
      </c>
      <c r="F88" s="31">
        <v>70000</v>
      </c>
      <c r="G88" s="31">
        <v>1</v>
      </c>
      <c r="H88" s="31">
        <v>15</v>
      </c>
      <c r="I88" s="31">
        <v>52.4</v>
      </c>
      <c r="J88" s="31">
        <v>42.654899999999998</v>
      </c>
      <c r="K88" s="31">
        <v>38.4</v>
      </c>
      <c r="L88" s="31">
        <v>47</v>
      </c>
      <c r="M88" s="31">
        <v>63000</v>
      </c>
      <c r="N88" s="31">
        <v>3668000</v>
      </c>
    </row>
    <row r="89" spans="1:14" x14ac:dyDescent="0.25">
      <c r="A89" s="31" t="s">
        <v>249</v>
      </c>
      <c r="B89" s="31" t="s">
        <v>250</v>
      </c>
      <c r="C89" s="31" t="s">
        <v>20</v>
      </c>
      <c r="D89" s="31" t="s">
        <v>17</v>
      </c>
      <c r="E89" s="31" t="s">
        <v>29</v>
      </c>
      <c r="F89" s="31">
        <v>140000</v>
      </c>
      <c r="G89" s="31">
        <v>0.8</v>
      </c>
      <c r="H89" s="31">
        <v>35</v>
      </c>
      <c r="I89" s="31">
        <v>19.400000299999999</v>
      </c>
      <c r="J89" s="31">
        <v>18.5</v>
      </c>
      <c r="K89" s="31">
        <v>19</v>
      </c>
      <c r="L89" s="31">
        <v>20</v>
      </c>
      <c r="M89" s="31">
        <v>-90044.532000000094</v>
      </c>
      <c r="N89" s="31">
        <v>2716000.0419999999</v>
      </c>
    </row>
    <row r="90" spans="1:14" x14ac:dyDescent="0.25">
      <c r="A90" s="31" t="s">
        <v>57</v>
      </c>
      <c r="B90" s="31" t="s">
        <v>251</v>
      </c>
      <c r="C90" s="31" t="s">
        <v>121</v>
      </c>
      <c r="D90" s="31" t="s">
        <v>21</v>
      </c>
      <c r="E90" s="31" t="s">
        <v>22</v>
      </c>
      <c r="F90" s="31">
        <v>107000</v>
      </c>
      <c r="G90" s="31">
        <v>1</v>
      </c>
      <c r="H90" s="31">
        <v>30</v>
      </c>
      <c r="I90" s="31">
        <v>47.95</v>
      </c>
      <c r="J90" s="31">
        <v>49.631308411215002</v>
      </c>
      <c r="K90" s="31">
        <v>40</v>
      </c>
      <c r="L90" s="31">
        <v>48</v>
      </c>
      <c r="M90" s="31">
        <v>-107000</v>
      </c>
      <c r="N90" s="31">
        <v>5130650</v>
      </c>
    </row>
    <row r="91" spans="1:14" x14ac:dyDescent="0.25">
      <c r="A91" s="31" t="s">
        <v>252</v>
      </c>
      <c r="B91" s="31" t="s">
        <v>253</v>
      </c>
      <c r="C91" s="31" t="s">
        <v>20</v>
      </c>
      <c r="D91" s="31" t="s">
        <v>17</v>
      </c>
      <c r="E91" s="31" t="s">
        <v>47</v>
      </c>
      <c r="F91" s="31">
        <v>3062000</v>
      </c>
      <c r="G91" s="31">
        <v>1</v>
      </c>
      <c r="H91" s="31">
        <v>36</v>
      </c>
      <c r="I91" s="31">
        <v>10.39</v>
      </c>
      <c r="J91" s="31">
        <v>10.1</v>
      </c>
      <c r="M91" s="31">
        <v>122480.000000001</v>
      </c>
      <c r="N91" s="31">
        <v>31814180</v>
      </c>
    </row>
    <row r="92" spans="1:14" x14ac:dyDescent="0.25">
      <c r="A92" s="31" t="s">
        <v>58</v>
      </c>
      <c r="B92" s="31" t="s">
        <v>254</v>
      </c>
      <c r="C92" s="31" t="s">
        <v>16</v>
      </c>
      <c r="D92" s="31" t="s">
        <v>17</v>
      </c>
      <c r="E92" s="31" t="s">
        <v>18</v>
      </c>
      <c r="F92" s="31">
        <v>8500</v>
      </c>
      <c r="G92" s="31">
        <v>0.101657617145454</v>
      </c>
      <c r="H92" s="31">
        <v>431</v>
      </c>
      <c r="I92" s="31">
        <v>47.65</v>
      </c>
      <c r="J92" s="31">
        <v>30.711794675532801</v>
      </c>
      <c r="K92" s="31">
        <v>30</v>
      </c>
      <c r="L92" s="31">
        <v>40</v>
      </c>
      <c r="M92" s="31">
        <v>-5355</v>
      </c>
      <c r="N92" s="31">
        <v>405025</v>
      </c>
    </row>
    <row r="93" spans="1:14" x14ac:dyDescent="0.25">
      <c r="A93" s="31" t="s">
        <v>416</v>
      </c>
      <c r="B93" s="31" t="s">
        <v>417</v>
      </c>
      <c r="C93" s="31" t="s">
        <v>20</v>
      </c>
      <c r="D93" s="31" t="s">
        <v>21</v>
      </c>
      <c r="E93" s="31" t="s">
        <v>22</v>
      </c>
      <c r="F93" s="31">
        <v>90779</v>
      </c>
      <c r="G93" s="31">
        <v>1</v>
      </c>
      <c r="H93" s="31">
        <v>1</v>
      </c>
      <c r="I93" s="31">
        <v>14.93</v>
      </c>
      <c r="J93" s="31">
        <v>14.844654620562</v>
      </c>
      <c r="K93" s="31">
        <v>15</v>
      </c>
      <c r="L93" s="31">
        <v>20</v>
      </c>
      <c r="M93" s="31">
        <v>7747.5653999999504</v>
      </c>
      <c r="N93" s="31">
        <v>1355330.47</v>
      </c>
    </row>
    <row r="94" spans="1:14" x14ac:dyDescent="0.25">
      <c r="A94" s="31" t="s">
        <v>255</v>
      </c>
      <c r="B94" s="31" t="s">
        <v>256</v>
      </c>
      <c r="C94" s="31" t="s">
        <v>20</v>
      </c>
      <c r="D94" s="31" t="s">
        <v>21</v>
      </c>
      <c r="E94" s="31" t="s">
        <v>22</v>
      </c>
      <c r="F94" s="32">
        <v>100000</v>
      </c>
      <c r="G94" s="31">
        <v>1</v>
      </c>
      <c r="H94" s="31">
        <v>15</v>
      </c>
      <c r="I94" s="31">
        <v>25.01</v>
      </c>
      <c r="J94" s="31">
        <v>22.25</v>
      </c>
      <c r="K94" s="31">
        <v>20</v>
      </c>
      <c r="L94" s="31">
        <v>24.5</v>
      </c>
      <c r="M94" s="31">
        <v>-32999.999999999898</v>
      </c>
      <c r="N94" s="31">
        <v>2501000</v>
      </c>
    </row>
    <row r="95" spans="1:14" x14ac:dyDescent="0.25">
      <c r="A95" s="31" t="s">
        <v>257</v>
      </c>
      <c r="B95" s="31" t="s">
        <v>258</v>
      </c>
      <c r="C95" s="31" t="s">
        <v>20</v>
      </c>
      <c r="D95" s="31" t="s">
        <v>25</v>
      </c>
      <c r="E95" s="31" t="s">
        <v>31</v>
      </c>
      <c r="F95" s="31">
        <v>64100</v>
      </c>
      <c r="G95" s="31">
        <v>1</v>
      </c>
      <c r="H95" s="31">
        <v>2</v>
      </c>
      <c r="I95" s="31">
        <v>29.43</v>
      </c>
      <c r="J95" s="31">
        <v>28.1145942277691</v>
      </c>
      <c r="K95" s="31">
        <v>24.2</v>
      </c>
      <c r="L95" s="31">
        <v>29.5</v>
      </c>
      <c r="M95" s="31">
        <v>62717.506500000003</v>
      </c>
      <c r="N95" s="31">
        <v>1886463</v>
      </c>
    </row>
    <row r="96" spans="1:14" x14ac:dyDescent="0.25">
      <c r="A96" s="31" t="s">
        <v>59</v>
      </c>
      <c r="B96" s="31" t="s">
        <v>259</v>
      </c>
      <c r="C96" s="31" t="s">
        <v>16</v>
      </c>
      <c r="D96" s="31" t="s">
        <v>17</v>
      </c>
      <c r="E96" s="31" t="s">
        <v>18</v>
      </c>
      <c r="F96" s="31">
        <v>26619</v>
      </c>
      <c r="G96" s="31">
        <v>1</v>
      </c>
      <c r="H96" s="31">
        <v>207</v>
      </c>
      <c r="I96" s="31">
        <v>16.03</v>
      </c>
      <c r="J96" s="31">
        <v>16.4293925391638</v>
      </c>
      <c r="M96" s="31">
        <v>1863.33</v>
      </c>
      <c r="N96" s="31">
        <v>426702.57</v>
      </c>
    </row>
    <row r="97" spans="1:14" x14ac:dyDescent="0.25">
      <c r="A97" s="31" t="s">
        <v>260</v>
      </c>
      <c r="B97" s="31" t="s">
        <v>261</v>
      </c>
      <c r="C97" s="31" t="s">
        <v>20</v>
      </c>
      <c r="D97" s="31" t="s">
        <v>21</v>
      </c>
      <c r="E97" s="31" t="s">
        <v>22</v>
      </c>
      <c r="F97" s="31">
        <v>80000</v>
      </c>
      <c r="G97" s="31">
        <v>0.53333333333333299</v>
      </c>
      <c r="H97" s="31">
        <v>30</v>
      </c>
      <c r="I97" s="31">
        <v>5.3</v>
      </c>
      <c r="J97" s="31">
        <v>5.5</v>
      </c>
      <c r="K97" s="31">
        <v>4.95</v>
      </c>
      <c r="L97" s="31">
        <v>6.1</v>
      </c>
      <c r="M97" s="31">
        <v>1196.0524</v>
      </c>
      <c r="N97" s="31">
        <v>424000</v>
      </c>
    </row>
    <row r="98" spans="1:14" x14ac:dyDescent="0.25">
      <c r="A98" s="31" t="s">
        <v>262</v>
      </c>
      <c r="B98" s="31" t="s">
        <v>263</v>
      </c>
      <c r="C98" s="31" t="s">
        <v>23</v>
      </c>
      <c r="D98" s="31" t="s">
        <v>25</v>
      </c>
      <c r="E98" s="31" t="s">
        <v>31</v>
      </c>
      <c r="F98" s="31">
        <v>14880</v>
      </c>
      <c r="G98" s="31">
        <v>5.9520000000000003E-2</v>
      </c>
      <c r="H98" s="31">
        <v>36</v>
      </c>
      <c r="I98" s="31">
        <v>24.92</v>
      </c>
      <c r="J98" s="31">
        <v>18.688300000000002</v>
      </c>
      <c r="K98" s="31">
        <v>28</v>
      </c>
      <c r="L98" s="31">
        <v>29</v>
      </c>
      <c r="M98" s="31">
        <v>-14757.036099999999</v>
      </c>
      <c r="N98" s="31">
        <v>370809.59999999998</v>
      </c>
    </row>
    <row r="99" spans="1:14" x14ac:dyDescent="0.25">
      <c r="A99" s="31" t="s">
        <v>60</v>
      </c>
      <c r="B99" s="31" t="s">
        <v>264</v>
      </c>
      <c r="C99" s="31" t="s">
        <v>121</v>
      </c>
      <c r="D99" s="31" t="s">
        <v>17</v>
      </c>
      <c r="E99" s="31" t="s">
        <v>31</v>
      </c>
      <c r="F99" s="31">
        <v>455000</v>
      </c>
      <c r="G99" s="31">
        <v>0.88349514563106801</v>
      </c>
      <c r="H99" s="31">
        <v>7</v>
      </c>
      <c r="I99" s="31">
        <v>24.03</v>
      </c>
      <c r="J99" s="31">
        <v>23.620246601941702</v>
      </c>
      <c r="K99" s="31">
        <v>11.75</v>
      </c>
      <c r="L99" s="31">
        <v>13</v>
      </c>
      <c r="M99" s="31">
        <v>-72800</v>
      </c>
      <c r="N99" s="31">
        <v>10933650</v>
      </c>
    </row>
    <row r="100" spans="1:14" x14ac:dyDescent="0.25">
      <c r="A100" s="31" t="s">
        <v>265</v>
      </c>
      <c r="B100" s="31" t="s">
        <v>266</v>
      </c>
      <c r="C100" s="31" t="s">
        <v>20</v>
      </c>
      <c r="D100" s="31" t="s">
        <v>25</v>
      </c>
      <c r="E100" s="31" t="s">
        <v>33</v>
      </c>
      <c r="F100" s="31">
        <v>125000</v>
      </c>
      <c r="G100" s="31">
        <v>1</v>
      </c>
      <c r="H100" s="31">
        <v>15</v>
      </c>
      <c r="I100" s="31">
        <v>14.4</v>
      </c>
      <c r="J100" s="31">
        <v>14.728759999999999</v>
      </c>
      <c r="K100" s="31">
        <v>13.25</v>
      </c>
      <c r="L100" s="31">
        <v>16.2</v>
      </c>
      <c r="M100" s="31">
        <v>-36250</v>
      </c>
      <c r="N100" s="31">
        <v>1800000</v>
      </c>
    </row>
    <row r="101" spans="1:14" x14ac:dyDescent="0.25">
      <c r="A101" s="31" t="s">
        <v>62</v>
      </c>
      <c r="B101" s="31" t="s">
        <v>267</v>
      </c>
      <c r="C101" s="31" t="s">
        <v>16</v>
      </c>
      <c r="D101" s="31" t="s">
        <v>17</v>
      </c>
      <c r="E101" s="31" t="s">
        <v>19</v>
      </c>
      <c r="F101" s="31">
        <v>33548</v>
      </c>
      <c r="G101" s="31">
        <v>0.40154162876430299</v>
      </c>
      <c r="H101" s="31">
        <v>92</v>
      </c>
      <c r="I101" s="31">
        <v>15.91</v>
      </c>
      <c r="J101" s="31">
        <v>20.566105711686699</v>
      </c>
      <c r="K101" s="31">
        <v>19</v>
      </c>
      <c r="L101" s="31">
        <v>24</v>
      </c>
      <c r="M101" s="31">
        <v>-5367.68</v>
      </c>
      <c r="N101" s="31">
        <v>533748.68000000005</v>
      </c>
    </row>
    <row r="102" spans="1:14" x14ac:dyDescent="0.25">
      <c r="A102" s="31" t="s">
        <v>268</v>
      </c>
      <c r="B102" s="31" t="s">
        <v>269</v>
      </c>
      <c r="C102" s="31" t="s">
        <v>20</v>
      </c>
      <c r="D102" s="31" t="s">
        <v>25</v>
      </c>
      <c r="E102" s="31" t="s">
        <v>31</v>
      </c>
      <c r="F102" s="31">
        <v>83629</v>
      </c>
      <c r="G102" s="31">
        <v>0.37168444444444398</v>
      </c>
      <c r="H102" s="31">
        <v>30</v>
      </c>
      <c r="I102" s="31">
        <v>56.35</v>
      </c>
      <c r="J102" s="31">
        <v>58.2571288888889</v>
      </c>
      <c r="K102" s="31">
        <v>52.4</v>
      </c>
      <c r="L102" s="31">
        <v>64</v>
      </c>
      <c r="M102" s="31">
        <v>-249256.5001</v>
      </c>
      <c r="N102" s="31">
        <v>4712494.1500000004</v>
      </c>
    </row>
    <row r="103" spans="1:14" x14ac:dyDescent="0.25">
      <c r="A103" s="31" t="s">
        <v>63</v>
      </c>
      <c r="B103" s="31" t="s">
        <v>270</v>
      </c>
      <c r="C103" s="31" t="s">
        <v>16</v>
      </c>
      <c r="D103" s="31" t="s">
        <v>17</v>
      </c>
      <c r="E103" s="31" t="s">
        <v>18</v>
      </c>
      <c r="F103" s="31">
        <v>50000</v>
      </c>
      <c r="G103" s="31">
        <v>1</v>
      </c>
      <c r="H103" s="31">
        <v>136</v>
      </c>
      <c r="I103" s="31">
        <v>16.57</v>
      </c>
      <c r="J103" s="31">
        <v>14.515739999999999</v>
      </c>
      <c r="M103" s="31">
        <v>-1500</v>
      </c>
      <c r="N103" s="31">
        <v>828500</v>
      </c>
    </row>
    <row r="104" spans="1:14" x14ac:dyDescent="0.25">
      <c r="A104" s="31" t="s">
        <v>271</v>
      </c>
      <c r="B104" s="31" t="s">
        <v>272</v>
      </c>
      <c r="C104" s="31" t="s">
        <v>20</v>
      </c>
      <c r="D104" s="31" t="s">
        <v>21</v>
      </c>
      <c r="E104" s="31" t="s">
        <v>22</v>
      </c>
      <c r="F104" s="31">
        <v>115000</v>
      </c>
      <c r="G104" s="31">
        <v>1</v>
      </c>
      <c r="H104" s="31">
        <v>3</v>
      </c>
      <c r="I104" s="31">
        <v>32.909999999999997</v>
      </c>
      <c r="J104" s="31">
        <v>26.745963043478302</v>
      </c>
      <c r="K104" s="31">
        <v>24</v>
      </c>
      <c r="L104" s="31">
        <v>32</v>
      </c>
      <c r="M104" s="31">
        <v>703302.25069999998</v>
      </c>
      <c r="N104" s="31">
        <v>3784650</v>
      </c>
    </row>
    <row r="105" spans="1:14" x14ac:dyDescent="0.25">
      <c r="A105" s="31" t="s">
        <v>64</v>
      </c>
      <c r="B105" s="31" t="s">
        <v>273</v>
      </c>
      <c r="C105" s="31" t="s">
        <v>20</v>
      </c>
      <c r="D105" s="31" t="s">
        <v>21</v>
      </c>
      <c r="E105" s="31" t="s">
        <v>22</v>
      </c>
      <c r="F105" s="31">
        <v>36000</v>
      </c>
      <c r="G105" s="31">
        <v>0.36</v>
      </c>
      <c r="H105" s="31">
        <v>219</v>
      </c>
      <c r="I105" s="31">
        <v>161.24</v>
      </c>
      <c r="J105" s="31">
        <v>85</v>
      </c>
      <c r="K105" s="31">
        <v>150</v>
      </c>
      <c r="L105" s="31">
        <v>190</v>
      </c>
      <c r="M105" s="31">
        <v>-133560</v>
      </c>
      <c r="N105" s="31">
        <v>5804640</v>
      </c>
    </row>
    <row r="106" spans="1:14" x14ac:dyDescent="0.25">
      <c r="A106" s="31" t="s">
        <v>65</v>
      </c>
      <c r="B106" s="31" t="s">
        <v>274</v>
      </c>
      <c r="C106" s="31" t="s">
        <v>20</v>
      </c>
      <c r="D106" s="31" t="s">
        <v>25</v>
      </c>
      <c r="E106" s="31" t="s">
        <v>31</v>
      </c>
      <c r="F106" s="31">
        <v>305000</v>
      </c>
      <c r="G106" s="31">
        <v>1</v>
      </c>
      <c r="H106" s="31">
        <v>29</v>
      </c>
      <c r="I106" s="31">
        <v>26.38</v>
      </c>
      <c r="J106" s="31">
        <v>23.121616393442601</v>
      </c>
      <c r="K106" s="31">
        <v>11.5</v>
      </c>
      <c r="L106" s="31">
        <v>15</v>
      </c>
      <c r="M106" s="31">
        <v>-250100</v>
      </c>
      <c r="N106" s="31">
        <v>8045900</v>
      </c>
    </row>
    <row r="107" spans="1:14" x14ac:dyDescent="0.25">
      <c r="A107" s="31" t="s">
        <v>66</v>
      </c>
      <c r="B107" s="31" t="s">
        <v>67</v>
      </c>
      <c r="C107" s="31" t="s">
        <v>121</v>
      </c>
      <c r="D107" s="31" t="s">
        <v>25</v>
      </c>
      <c r="E107" s="31" t="s">
        <v>31</v>
      </c>
      <c r="F107" s="31">
        <v>30000</v>
      </c>
      <c r="G107" s="31">
        <v>0.119449576352169</v>
      </c>
      <c r="H107" s="31">
        <v>77</v>
      </c>
      <c r="I107" s="31">
        <v>29.69</v>
      </c>
      <c r="J107" s="31">
        <v>25.133003121615602</v>
      </c>
      <c r="K107" s="31">
        <v>16.2</v>
      </c>
      <c r="L107" s="31">
        <v>19.8</v>
      </c>
      <c r="M107" s="31">
        <v>-20700</v>
      </c>
      <c r="N107" s="31">
        <v>890700</v>
      </c>
    </row>
    <row r="108" spans="1:14" x14ac:dyDescent="0.25">
      <c r="A108" s="31" t="s">
        <v>68</v>
      </c>
      <c r="B108" s="31" t="s">
        <v>275</v>
      </c>
      <c r="C108" s="31" t="s">
        <v>16</v>
      </c>
      <c r="D108" s="31" t="s">
        <v>17</v>
      </c>
      <c r="E108" s="31" t="s">
        <v>47</v>
      </c>
      <c r="F108" s="31">
        <v>75000</v>
      </c>
      <c r="G108" s="31">
        <v>0.5</v>
      </c>
      <c r="H108" s="31">
        <v>134</v>
      </c>
      <c r="I108" s="31">
        <v>13.63</v>
      </c>
      <c r="J108" s="31">
        <v>17.397066666666699</v>
      </c>
      <c r="K108" s="31">
        <v>14.3</v>
      </c>
      <c r="L108" s="31">
        <v>17</v>
      </c>
      <c r="M108" s="31">
        <v>-117588.69</v>
      </c>
      <c r="N108" s="31">
        <v>1022250</v>
      </c>
    </row>
    <row r="109" spans="1:14" x14ac:dyDescent="0.25">
      <c r="A109" s="31" t="s">
        <v>276</v>
      </c>
      <c r="B109" s="31" t="s">
        <v>277</v>
      </c>
      <c r="C109" s="31" t="s">
        <v>23</v>
      </c>
      <c r="D109" s="31" t="s">
        <v>21</v>
      </c>
      <c r="E109" s="31" t="s">
        <v>22</v>
      </c>
      <c r="F109" s="31">
        <v>70000</v>
      </c>
      <c r="G109" s="31">
        <v>0.660377358490566</v>
      </c>
      <c r="H109" s="31">
        <v>29</v>
      </c>
      <c r="I109" s="31">
        <v>23.17</v>
      </c>
      <c r="J109" s="31">
        <v>14.161745283018901</v>
      </c>
      <c r="K109" s="31">
        <v>15</v>
      </c>
      <c r="L109" s="31">
        <v>16</v>
      </c>
      <c r="M109" s="31">
        <v>43443.721599999997</v>
      </c>
      <c r="N109" s="31">
        <v>1621900</v>
      </c>
    </row>
    <row r="110" spans="1:14" x14ac:dyDescent="0.25">
      <c r="A110" s="31" t="s">
        <v>278</v>
      </c>
      <c r="B110" s="31" t="s">
        <v>279</v>
      </c>
      <c r="C110" s="31" t="s">
        <v>20</v>
      </c>
      <c r="D110" s="31" t="s">
        <v>17</v>
      </c>
      <c r="E110" s="31" t="s">
        <v>47</v>
      </c>
      <c r="F110" s="31">
        <v>30000</v>
      </c>
      <c r="G110" s="31">
        <v>0.3</v>
      </c>
      <c r="H110" s="31">
        <v>3</v>
      </c>
      <c r="I110" s="31">
        <v>8.9</v>
      </c>
      <c r="J110" s="31">
        <v>9.9</v>
      </c>
      <c r="K110" s="31">
        <v>9</v>
      </c>
      <c r="L110" s="31">
        <v>11</v>
      </c>
      <c r="M110" s="31">
        <v>-25474.731199999998</v>
      </c>
      <c r="N110" s="31">
        <v>267000</v>
      </c>
    </row>
    <row r="111" spans="1:14" x14ac:dyDescent="0.25">
      <c r="A111" s="31" t="s">
        <v>69</v>
      </c>
      <c r="B111" s="31" t="s">
        <v>280</v>
      </c>
      <c r="C111" s="31" t="s">
        <v>16</v>
      </c>
      <c r="D111" s="31" t="s">
        <v>25</v>
      </c>
      <c r="E111" s="31" t="s">
        <v>18</v>
      </c>
      <c r="F111" s="31">
        <v>49800</v>
      </c>
      <c r="G111" s="31">
        <v>1</v>
      </c>
      <c r="H111" s="31">
        <v>137</v>
      </c>
      <c r="I111" s="31">
        <v>12.01</v>
      </c>
      <c r="J111" s="31">
        <v>14.1555823293173</v>
      </c>
      <c r="M111" s="31">
        <v>-32394.9</v>
      </c>
      <c r="N111" s="31">
        <v>598098</v>
      </c>
    </row>
    <row r="112" spans="1:14" x14ac:dyDescent="0.25">
      <c r="A112" s="31" t="s">
        <v>281</v>
      </c>
      <c r="B112" s="31" t="s">
        <v>282</v>
      </c>
      <c r="C112" s="31" t="s">
        <v>20</v>
      </c>
      <c r="D112" s="31" t="s">
        <v>17</v>
      </c>
      <c r="E112" s="31" t="s">
        <v>18</v>
      </c>
      <c r="F112" s="31">
        <v>120000</v>
      </c>
      <c r="G112" s="31">
        <v>0.96</v>
      </c>
      <c r="H112" s="31">
        <v>30</v>
      </c>
      <c r="I112" s="31">
        <v>26.3</v>
      </c>
      <c r="J112" s="31">
        <v>25.900079999999999</v>
      </c>
      <c r="K112" s="31">
        <v>23.3</v>
      </c>
      <c r="L112" s="31">
        <v>28.5</v>
      </c>
      <c r="M112" s="31">
        <v>-6000.00000000004</v>
      </c>
      <c r="N112" s="31">
        <v>3156000</v>
      </c>
    </row>
    <row r="113" spans="1:14" x14ac:dyDescent="0.25">
      <c r="A113" s="31" t="s">
        <v>70</v>
      </c>
      <c r="B113" s="31" t="s">
        <v>283</v>
      </c>
      <c r="C113" s="31" t="s">
        <v>16</v>
      </c>
      <c r="D113" s="31" t="s">
        <v>17</v>
      </c>
      <c r="E113" s="31" t="s">
        <v>18</v>
      </c>
      <c r="F113" s="31">
        <v>140000</v>
      </c>
      <c r="H113" s="31">
        <v>1</v>
      </c>
      <c r="I113" s="31">
        <v>17.849999902499999</v>
      </c>
      <c r="K113" s="31">
        <v>15.5</v>
      </c>
      <c r="L113" s="31">
        <v>19</v>
      </c>
      <c r="M113" s="31">
        <v>-30800</v>
      </c>
      <c r="N113" s="31">
        <v>2498999.9863499999</v>
      </c>
    </row>
    <row r="114" spans="1:14" x14ac:dyDescent="0.25">
      <c r="A114" s="31" t="s">
        <v>284</v>
      </c>
      <c r="B114" s="31" t="s">
        <v>285</v>
      </c>
      <c r="C114" s="31" t="s">
        <v>20</v>
      </c>
      <c r="D114" s="31" t="s">
        <v>21</v>
      </c>
      <c r="E114" s="31" t="s">
        <v>22</v>
      </c>
      <c r="F114" s="31">
        <v>250000</v>
      </c>
      <c r="G114" s="31">
        <v>1</v>
      </c>
      <c r="H114" s="31">
        <v>22</v>
      </c>
      <c r="I114" s="31">
        <v>7.83</v>
      </c>
      <c r="J114" s="31">
        <v>7.5</v>
      </c>
      <c r="K114" s="31">
        <v>9</v>
      </c>
      <c r="L114" s="31">
        <v>10</v>
      </c>
      <c r="M114" s="31">
        <v>-82500</v>
      </c>
      <c r="N114" s="31">
        <v>1957500</v>
      </c>
    </row>
    <row r="115" spans="1:14" x14ac:dyDescent="0.25">
      <c r="A115" s="31" t="s">
        <v>71</v>
      </c>
      <c r="B115" s="31" t="s">
        <v>286</v>
      </c>
      <c r="C115" s="31" t="s">
        <v>16</v>
      </c>
      <c r="D115" s="31" t="s">
        <v>21</v>
      </c>
      <c r="E115" s="31" t="s">
        <v>22</v>
      </c>
      <c r="F115" s="31">
        <v>20000</v>
      </c>
      <c r="G115" s="31">
        <v>1</v>
      </c>
      <c r="H115" s="31">
        <v>214</v>
      </c>
      <c r="I115" s="31">
        <v>3.7</v>
      </c>
      <c r="J115" s="31">
        <v>4.03</v>
      </c>
      <c r="K115" s="31">
        <v>2.0499999999999998</v>
      </c>
      <c r="L115" s="31">
        <v>2.5</v>
      </c>
      <c r="M115" s="31">
        <v>3000</v>
      </c>
      <c r="N115" s="31">
        <v>74000</v>
      </c>
    </row>
    <row r="116" spans="1:14" x14ac:dyDescent="0.25">
      <c r="A116" s="31" t="s">
        <v>72</v>
      </c>
      <c r="B116" s="31" t="s">
        <v>73</v>
      </c>
      <c r="C116" s="31" t="s">
        <v>16</v>
      </c>
      <c r="D116" s="31" t="s">
        <v>17</v>
      </c>
      <c r="E116" s="31" t="s">
        <v>19</v>
      </c>
      <c r="F116" s="31">
        <v>74723</v>
      </c>
      <c r="G116" s="31">
        <v>0.80707458011556898</v>
      </c>
      <c r="H116" s="31">
        <v>140</v>
      </c>
      <c r="I116" s="31">
        <v>26.77</v>
      </c>
      <c r="J116" s="31">
        <v>27.976356861262602</v>
      </c>
      <c r="K116" s="31">
        <v>23.5</v>
      </c>
      <c r="L116" s="31">
        <v>28</v>
      </c>
      <c r="M116" s="31">
        <v>-37361.5</v>
      </c>
      <c r="N116" s="31">
        <v>2000334.71</v>
      </c>
    </row>
    <row r="117" spans="1:14" x14ac:dyDescent="0.25">
      <c r="A117" s="31" t="s">
        <v>287</v>
      </c>
      <c r="B117" s="31" t="s">
        <v>288</v>
      </c>
      <c r="C117" s="31" t="s">
        <v>20</v>
      </c>
      <c r="D117" s="31" t="s">
        <v>17</v>
      </c>
      <c r="E117" s="31" t="s">
        <v>47</v>
      </c>
      <c r="F117" s="32">
        <v>300000</v>
      </c>
      <c r="G117" s="31">
        <v>1</v>
      </c>
      <c r="H117" s="31">
        <v>9</v>
      </c>
      <c r="I117" s="31">
        <v>16.66</v>
      </c>
      <c r="J117" s="31">
        <v>16.2</v>
      </c>
      <c r="K117" s="31">
        <v>14.6</v>
      </c>
      <c r="L117" s="31">
        <v>17.8</v>
      </c>
      <c r="M117" s="31">
        <v>-50999.9999999996</v>
      </c>
      <c r="N117" s="31">
        <v>4998000</v>
      </c>
    </row>
    <row r="118" spans="1:14" x14ac:dyDescent="0.25">
      <c r="A118" s="31" t="s">
        <v>289</v>
      </c>
      <c r="B118" s="31" t="s">
        <v>290</v>
      </c>
      <c r="C118" s="31" t="s">
        <v>20</v>
      </c>
      <c r="D118" s="31" t="s">
        <v>17</v>
      </c>
      <c r="E118" s="31" t="s">
        <v>29</v>
      </c>
      <c r="F118" s="31">
        <v>35000</v>
      </c>
      <c r="G118" s="31">
        <v>1</v>
      </c>
      <c r="H118" s="31">
        <v>28</v>
      </c>
      <c r="I118" s="31">
        <v>23.98</v>
      </c>
      <c r="J118" s="31">
        <v>24.735600000000002</v>
      </c>
      <c r="K118" s="31">
        <v>22.3</v>
      </c>
      <c r="L118" s="31">
        <v>27.2</v>
      </c>
      <c r="M118" s="31">
        <v>-21700</v>
      </c>
      <c r="N118" s="31">
        <v>839300</v>
      </c>
    </row>
    <row r="119" spans="1:14" x14ac:dyDescent="0.25">
      <c r="A119" s="31" t="s">
        <v>291</v>
      </c>
      <c r="B119" s="31" t="s">
        <v>292</v>
      </c>
      <c r="C119" s="31" t="s">
        <v>20</v>
      </c>
      <c r="D119" s="31" t="s">
        <v>25</v>
      </c>
      <c r="E119" s="31" t="s">
        <v>31</v>
      </c>
      <c r="F119" s="31">
        <v>84055</v>
      </c>
      <c r="G119" s="31">
        <v>0.36545652173913001</v>
      </c>
      <c r="H119" s="31">
        <v>31</v>
      </c>
      <c r="I119" s="31">
        <v>13.8</v>
      </c>
      <c r="J119" s="31">
        <v>13.1648304347826</v>
      </c>
      <c r="K119" s="31">
        <v>10.9</v>
      </c>
      <c r="L119" s="31">
        <v>13.35</v>
      </c>
      <c r="M119" s="31">
        <v>-39189.908000000003</v>
      </c>
      <c r="N119" s="31">
        <v>1159959</v>
      </c>
    </row>
    <row r="120" spans="1:14" x14ac:dyDescent="0.25">
      <c r="A120" s="31" t="s">
        <v>293</v>
      </c>
      <c r="B120" s="31" t="s">
        <v>294</v>
      </c>
      <c r="C120" s="31" t="s">
        <v>23</v>
      </c>
      <c r="D120" s="31" t="s">
        <v>17</v>
      </c>
      <c r="E120" s="31" t="s">
        <v>19</v>
      </c>
      <c r="F120" s="31">
        <v>459906</v>
      </c>
      <c r="G120" s="31">
        <v>1</v>
      </c>
      <c r="H120" s="31">
        <v>8</v>
      </c>
      <c r="I120" s="31">
        <v>15.63</v>
      </c>
      <c r="J120" s="31">
        <v>16.040188647245301</v>
      </c>
      <c r="K120" s="31">
        <v>14.4</v>
      </c>
      <c r="L120" s="31">
        <v>17.600000000000001</v>
      </c>
      <c r="M120" s="31">
        <v>-73584.959999999701</v>
      </c>
      <c r="N120" s="31">
        <v>7188330.7800000003</v>
      </c>
    </row>
    <row r="121" spans="1:14" x14ac:dyDescent="0.25">
      <c r="A121" s="31" t="s">
        <v>295</v>
      </c>
      <c r="B121" s="31" t="s">
        <v>296</v>
      </c>
      <c r="C121" s="31" t="s">
        <v>20</v>
      </c>
      <c r="D121" s="31" t="s">
        <v>21</v>
      </c>
      <c r="E121" s="31" t="s">
        <v>22</v>
      </c>
      <c r="F121" s="31">
        <v>273741</v>
      </c>
      <c r="G121" s="31">
        <v>0.88303548387096797</v>
      </c>
      <c r="H121" s="31">
        <v>21</v>
      </c>
      <c r="I121" s="31">
        <v>10.95</v>
      </c>
      <c r="J121" s="31">
        <v>13</v>
      </c>
      <c r="K121" s="31">
        <v>11.7</v>
      </c>
      <c r="L121" s="31">
        <v>14.3</v>
      </c>
      <c r="M121" s="31">
        <v>-224380.4178</v>
      </c>
      <c r="N121" s="31">
        <v>2997463.95</v>
      </c>
    </row>
    <row r="122" spans="1:14" x14ac:dyDescent="0.25">
      <c r="A122" s="31" t="s">
        <v>418</v>
      </c>
      <c r="B122" s="31" t="s">
        <v>419</v>
      </c>
      <c r="C122" s="31" t="s">
        <v>20</v>
      </c>
      <c r="D122" s="31" t="s">
        <v>25</v>
      </c>
      <c r="F122" s="31">
        <v>22672</v>
      </c>
      <c r="G122" s="31">
        <v>0.56679999999999997</v>
      </c>
      <c r="H122" s="31">
        <v>1</v>
      </c>
      <c r="I122" s="31">
        <v>17.989999999999998</v>
      </c>
      <c r="J122" s="31">
        <v>18</v>
      </c>
      <c r="M122" s="31">
        <v>-226.72</v>
      </c>
      <c r="N122" s="31">
        <v>407869.28</v>
      </c>
    </row>
    <row r="123" spans="1:14" x14ac:dyDescent="0.25">
      <c r="A123" s="31" t="s">
        <v>297</v>
      </c>
      <c r="B123" s="31" t="s">
        <v>298</v>
      </c>
      <c r="C123" s="31" t="s">
        <v>20</v>
      </c>
      <c r="D123" s="31" t="s">
        <v>17</v>
      </c>
      <c r="E123" s="31" t="s">
        <v>18</v>
      </c>
      <c r="F123" s="31">
        <v>185000</v>
      </c>
      <c r="G123" s="31">
        <v>0.50684931506849296</v>
      </c>
      <c r="H123" s="31">
        <v>42</v>
      </c>
      <c r="I123" s="31">
        <v>29.75</v>
      </c>
      <c r="J123" s="31">
        <v>28.2541095890411</v>
      </c>
      <c r="K123" s="31">
        <v>21</v>
      </c>
      <c r="L123" s="31">
        <v>24.5</v>
      </c>
      <c r="M123" s="31">
        <v>15001.125100000099</v>
      </c>
      <c r="N123" s="31">
        <v>5503750</v>
      </c>
    </row>
    <row r="124" spans="1:14" x14ac:dyDescent="0.25">
      <c r="A124" s="31" t="s">
        <v>299</v>
      </c>
      <c r="B124" s="31" t="s">
        <v>300</v>
      </c>
      <c r="C124" s="31" t="s">
        <v>20</v>
      </c>
      <c r="D124" s="31" t="s">
        <v>21</v>
      </c>
      <c r="E124" s="31" t="s">
        <v>22</v>
      </c>
      <c r="F124" s="31">
        <v>150000</v>
      </c>
      <c r="G124" s="31">
        <v>1</v>
      </c>
      <c r="H124" s="31">
        <v>15</v>
      </c>
      <c r="I124" s="31">
        <v>10.64</v>
      </c>
      <c r="J124" s="31">
        <v>9.4862199999999994</v>
      </c>
      <c r="K124" s="31">
        <v>4.8</v>
      </c>
      <c r="L124" s="31">
        <v>5.9</v>
      </c>
      <c r="M124" s="31">
        <v>-250500</v>
      </c>
      <c r="N124" s="31">
        <v>1596000</v>
      </c>
    </row>
    <row r="125" spans="1:14" x14ac:dyDescent="0.25">
      <c r="A125" s="31" t="s">
        <v>301</v>
      </c>
      <c r="B125" s="31" t="s">
        <v>302</v>
      </c>
      <c r="C125" s="31" t="s">
        <v>23</v>
      </c>
      <c r="D125" s="31" t="s">
        <v>21</v>
      </c>
      <c r="E125" s="31" t="s">
        <v>22</v>
      </c>
      <c r="F125" s="32">
        <v>100000</v>
      </c>
      <c r="G125" s="31">
        <v>1</v>
      </c>
      <c r="H125" s="31">
        <v>7</v>
      </c>
      <c r="I125" s="31">
        <v>20.059999999999999</v>
      </c>
      <c r="J125" s="31">
        <v>15</v>
      </c>
      <c r="K125" s="31">
        <v>13.5</v>
      </c>
      <c r="L125" s="31">
        <v>16.5</v>
      </c>
      <c r="M125" s="31">
        <v>-18000</v>
      </c>
      <c r="N125" s="31">
        <v>2006000</v>
      </c>
    </row>
    <row r="126" spans="1:14" x14ac:dyDescent="0.25">
      <c r="A126" s="31" t="s">
        <v>303</v>
      </c>
      <c r="B126" s="31" t="s">
        <v>304</v>
      </c>
      <c r="C126" s="31" t="s">
        <v>23</v>
      </c>
      <c r="D126" s="31" t="s">
        <v>17</v>
      </c>
      <c r="E126" s="31" t="s">
        <v>18</v>
      </c>
      <c r="F126" s="31">
        <v>175000</v>
      </c>
      <c r="G126" s="31">
        <v>1</v>
      </c>
      <c r="H126" s="31">
        <v>37</v>
      </c>
      <c r="I126" s="31">
        <v>10.06500022</v>
      </c>
      <c r="J126" s="31">
        <v>10</v>
      </c>
      <c r="M126" s="31">
        <v>-2624.9900000000398</v>
      </c>
      <c r="N126" s="31">
        <v>1761375.0385</v>
      </c>
    </row>
    <row r="127" spans="1:14" x14ac:dyDescent="0.25">
      <c r="A127" s="31" t="s">
        <v>74</v>
      </c>
      <c r="B127" s="31" t="s">
        <v>305</v>
      </c>
      <c r="C127" s="31" t="s">
        <v>16</v>
      </c>
      <c r="D127" s="31" t="s">
        <v>17</v>
      </c>
      <c r="E127" s="31" t="s">
        <v>19</v>
      </c>
      <c r="F127" s="31">
        <v>55190</v>
      </c>
      <c r="G127" s="31">
        <v>1</v>
      </c>
      <c r="H127" s="31">
        <v>135</v>
      </c>
      <c r="I127" s="31">
        <v>15.22</v>
      </c>
      <c r="J127" s="31">
        <v>14.003460771879</v>
      </c>
      <c r="L127" s="31">
        <v>16</v>
      </c>
      <c r="M127" s="31">
        <v>6070.9</v>
      </c>
      <c r="N127" s="31">
        <v>839991.8</v>
      </c>
    </row>
    <row r="128" spans="1:14" x14ac:dyDescent="0.25">
      <c r="A128" s="31" t="s">
        <v>75</v>
      </c>
      <c r="B128" s="31" t="s">
        <v>306</v>
      </c>
      <c r="C128" s="31" t="s">
        <v>121</v>
      </c>
      <c r="D128" s="31" t="s">
        <v>25</v>
      </c>
      <c r="E128" s="31" t="s">
        <v>18</v>
      </c>
      <c r="F128" s="31">
        <v>2700000</v>
      </c>
      <c r="G128" s="31">
        <v>1</v>
      </c>
      <c r="H128" s="31">
        <v>31</v>
      </c>
      <c r="I128" s="31">
        <v>1.31</v>
      </c>
      <c r="J128" s="31">
        <v>1.3777611111111101</v>
      </c>
      <c r="K128" s="31">
        <v>1.25</v>
      </c>
      <c r="L128" s="31">
        <v>1.6</v>
      </c>
      <c r="M128" s="31">
        <v>-81000</v>
      </c>
      <c r="N128" s="31">
        <v>3537000</v>
      </c>
    </row>
    <row r="129" spans="1:14" x14ac:dyDescent="0.25">
      <c r="A129" s="31" t="s">
        <v>307</v>
      </c>
      <c r="B129" s="31" t="s">
        <v>308</v>
      </c>
      <c r="C129" s="31" t="s">
        <v>20</v>
      </c>
      <c r="D129" s="31" t="s">
        <v>17</v>
      </c>
      <c r="E129" s="31" t="s">
        <v>19</v>
      </c>
      <c r="F129" s="31">
        <v>110409</v>
      </c>
      <c r="G129" s="31">
        <v>1.4721200000000001</v>
      </c>
      <c r="H129" s="31">
        <v>10</v>
      </c>
      <c r="I129" s="31">
        <v>28.3</v>
      </c>
      <c r="J129" s="31">
        <v>43.083066666666703</v>
      </c>
      <c r="K129" s="31">
        <v>26.3</v>
      </c>
      <c r="L129" s="31">
        <v>32.200000000000003</v>
      </c>
      <c r="M129" s="31">
        <v>-66245.399999999907</v>
      </c>
      <c r="N129" s="31">
        <v>3124574.7</v>
      </c>
    </row>
    <row r="130" spans="1:14" x14ac:dyDescent="0.25">
      <c r="A130" s="31" t="s">
        <v>420</v>
      </c>
      <c r="B130" s="31" t="s">
        <v>421</v>
      </c>
      <c r="C130" s="31" t="s">
        <v>23</v>
      </c>
      <c r="D130" s="31" t="s">
        <v>21</v>
      </c>
      <c r="F130" s="31">
        <v>162019</v>
      </c>
      <c r="G130" s="31">
        <v>1</v>
      </c>
      <c r="H130" s="31">
        <v>1</v>
      </c>
      <c r="I130" s="31">
        <v>20.22</v>
      </c>
      <c r="J130" s="31">
        <v>15.8450617174529</v>
      </c>
      <c r="M130" s="31">
        <v>708823.12659999996</v>
      </c>
      <c r="N130" s="31">
        <v>3276024.18</v>
      </c>
    </row>
    <row r="131" spans="1:14" x14ac:dyDescent="0.25">
      <c r="A131" s="31" t="s">
        <v>309</v>
      </c>
      <c r="B131" s="31" t="s">
        <v>310</v>
      </c>
      <c r="C131" s="31" t="s">
        <v>20</v>
      </c>
      <c r="D131" s="31" t="s">
        <v>21</v>
      </c>
      <c r="E131" s="31" t="s">
        <v>22</v>
      </c>
      <c r="F131" s="32">
        <v>200000</v>
      </c>
      <c r="G131" s="31">
        <v>1</v>
      </c>
      <c r="H131" s="31">
        <v>15</v>
      </c>
      <c r="I131" s="31">
        <v>16.11</v>
      </c>
      <c r="J131" s="31">
        <v>15.75</v>
      </c>
      <c r="K131" s="31">
        <v>14.2</v>
      </c>
      <c r="L131" s="31">
        <v>17.5</v>
      </c>
      <c r="M131" s="31">
        <v>-89999.999999999898</v>
      </c>
      <c r="N131" s="31">
        <v>3222000</v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449506-F83A-420A-999D-04C909122355}">
  <sheetPr codeName="Sheet9"/>
  <dimension ref="A1:N19"/>
  <sheetViews>
    <sheetView workbookViewId="0">
      <selection activeCell="A2" sqref="A2:N19"/>
    </sheetView>
  </sheetViews>
  <sheetFormatPr defaultRowHeight="15" x14ac:dyDescent="0.25"/>
  <cols>
    <col min="1" max="16384" width="9.140625" style="31"/>
  </cols>
  <sheetData>
    <row r="1" spans="1:14" x14ac:dyDescent="0.25">
      <c r="A1" s="31" t="s">
        <v>0</v>
      </c>
      <c r="B1" s="31" t="s">
        <v>1</v>
      </c>
      <c r="C1" s="31" t="s">
        <v>2</v>
      </c>
      <c r="D1" s="31" t="s">
        <v>3</v>
      </c>
      <c r="E1" s="31" t="s">
        <v>4</v>
      </c>
      <c r="F1" s="31" t="s">
        <v>5</v>
      </c>
      <c r="G1" s="31" t="s">
        <v>115</v>
      </c>
      <c r="H1" s="31" t="s">
        <v>116</v>
      </c>
      <c r="I1" s="31" t="s">
        <v>8</v>
      </c>
      <c r="J1" s="31" t="s">
        <v>117</v>
      </c>
      <c r="K1" s="31" t="s">
        <v>10</v>
      </c>
      <c r="L1" s="31" t="s">
        <v>11</v>
      </c>
      <c r="M1" s="31" t="s">
        <v>12</v>
      </c>
      <c r="N1" s="31" t="s">
        <v>118</v>
      </c>
    </row>
    <row r="2" spans="1:14" x14ac:dyDescent="0.25">
      <c r="A2" s="31" t="s">
        <v>79</v>
      </c>
      <c r="B2" s="31" t="s">
        <v>311</v>
      </c>
      <c r="C2" s="31" t="s">
        <v>16</v>
      </c>
      <c r="D2" s="31" t="s">
        <v>25</v>
      </c>
      <c r="E2" s="31" t="s">
        <v>19</v>
      </c>
      <c r="F2" s="31">
        <v>-52000</v>
      </c>
      <c r="G2" s="31">
        <v>0.69333333333333302</v>
      </c>
      <c r="H2" s="31">
        <v>71</v>
      </c>
      <c r="I2" s="31">
        <v>8.67</v>
      </c>
      <c r="J2" s="31">
        <v>8.4315333333333307</v>
      </c>
      <c r="K2" s="31">
        <v>12.6</v>
      </c>
      <c r="L2" s="31">
        <v>15.5</v>
      </c>
      <c r="M2" s="31">
        <v>1560</v>
      </c>
      <c r="N2" s="31">
        <v>-450840</v>
      </c>
    </row>
    <row r="3" spans="1:14" x14ac:dyDescent="0.25">
      <c r="A3" s="31" t="s">
        <v>422</v>
      </c>
      <c r="B3" s="31" t="s">
        <v>423</v>
      </c>
      <c r="C3" s="31" t="s">
        <v>16</v>
      </c>
      <c r="D3" s="31" t="s">
        <v>25</v>
      </c>
      <c r="E3" s="31" t="s">
        <v>31</v>
      </c>
      <c r="F3" s="31">
        <v>-10000</v>
      </c>
      <c r="G3" s="31">
        <v>1</v>
      </c>
      <c r="H3" s="31">
        <v>1</v>
      </c>
      <c r="I3" s="31">
        <v>26.67</v>
      </c>
      <c r="J3" s="31">
        <v>28.022735000000001</v>
      </c>
      <c r="K3" s="31">
        <v>21.1</v>
      </c>
      <c r="L3" s="31">
        <v>25.8</v>
      </c>
      <c r="M3" s="31">
        <v>13524.51</v>
      </c>
      <c r="N3" s="31">
        <v>-266700</v>
      </c>
    </row>
    <row r="4" spans="1:14" x14ac:dyDescent="0.25">
      <c r="A4" s="31" t="s">
        <v>36</v>
      </c>
      <c r="B4" s="31" t="s">
        <v>312</v>
      </c>
      <c r="C4" s="31" t="s">
        <v>16</v>
      </c>
      <c r="D4" s="31" t="s">
        <v>25</v>
      </c>
      <c r="E4" s="31" t="s">
        <v>31</v>
      </c>
      <c r="F4" s="31">
        <v>-15190</v>
      </c>
      <c r="G4" s="31">
        <v>1</v>
      </c>
      <c r="H4" s="31">
        <v>14</v>
      </c>
      <c r="I4" s="31">
        <v>63.99</v>
      </c>
      <c r="J4" s="31">
        <v>60.866359447004598</v>
      </c>
      <c r="K4" s="31">
        <v>30.15</v>
      </c>
      <c r="L4" s="31">
        <v>36.85</v>
      </c>
      <c r="M4" s="31">
        <v>5012.7</v>
      </c>
      <c r="N4" s="31">
        <v>-972008.1</v>
      </c>
    </row>
    <row r="5" spans="1:14" x14ac:dyDescent="0.25">
      <c r="A5" s="31" t="s">
        <v>313</v>
      </c>
      <c r="B5" s="31" t="s">
        <v>314</v>
      </c>
      <c r="C5" s="31" t="s">
        <v>16</v>
      </c>
      <c r="D5" s="31" t="s">
        <v>17</v>
      </c>
      <c r="E5" s="31" t="s">
        <v>18</v>
      </c>
      <c r="F5" s="31">
        <v>-13900</v>
      </c>
      <c r="G5" s="31">
        <v>1</v>
      </c>
      <c r="H5" s="31">
        <v>21</v>
      </c>
      <c r="I5" s="31">
        <v>100.94</v>
      </c>
      <c r="J5" s="31">
        <v>102.42863309352499</v>
      </c>
      <c r="K5" s="31">
        <v>107</v>
      </c>
      <c r="L5" s="31">
        <v>87</v>
      </c>
      <c r="M5" s="31">
        <v>-1529</v>
      </c>
      <c r="N5" s="31">
        <v>-1403066</v>
      </c>
    </row>
    <row r="6" spans="1:14" x14ac:dyDescent="0.25">
      <c r="A6" s="31" t="s">
        <v>80</v>
      </c>
      <c r="B6" s="31" t="s">
        <v>315</v>
      </c>
      <c r="C6" s="31" t="s">
        <v>16</v>
      </c>
      <c r="D6" s="31" t="s">
        <v>17</v>
      </c>
      <c r="E6" s="31" t="s">
        <v>18</v>
      </c>
      <c r="F6" s="31">
        <v>-25893</v>
      </c>
      <c r="G6" s="31">
        <v>1</v>
      </c>
      <c r="H6" s="31">
        <v>141</v>
      </c>
      <c r="I6" s="31">
        <v>26.7</v>
      </c>
      <c r="J6" s="31">
        <v>22.8490325570618</v>
      </c>
      <c r="M6" s="31">
        <v>-7767.9</v>
      </c>
      <c r="N6" s="31">
        <v>-691343.1</v>
      </c>
    </row>
    <row r="7" spans="1:14" x14ac:dyDescent="0.25">
      <c r="A7" s="31" t="s">
        <v>81</v>
      </c>
      <c r="B7" s="31" t="s">
        <v>316</v>
      </c>
      <c r="C7" s="31" t="s">
        <v>16</v>
      </c>
      <c r="D7" s="31" t="s">
        <v>17</v>
      </c>
      <c r="E7" s="31" t="s">
        <v>47</v>
      </c>
      <c r="F7" s="31">
        <v>-10000</v>
      </c>
      <c r="G7" s="31">
        <v>0.4</v>
      </c>
      <c r="H7" s="31">
        <v>85</v>
      </c>
      <c r="I7" s="31">
        <v>32.11</v>
      </c>
      <c r="J7" s="31">
        <v>22.949960000000001</v>
      </c>
      <c r="M7" s="31">
        <v>2600</v>
      </c>
      <c r="N7" s="31">
        <v>-321100</v>
      </c>
    </row>
    <row r="8" spans="1:14" x14ac:dyDescent="0.25">
      <c r="A8" s="31" t="s">
        <v>82</v>
      </c>
      <c r="B8" s="31" t="s">
        <v>317</v>
      </c>
      <c r="C8" s="31" t="s">
        <v>16</v>
      </c>
      <c r="D8" s="31" t="s">
        <v>25</v>
      </c>
      <c r="E8" s="31" t="s">
        <v>31</v>
      </c>
      <c r="F8" s="31">
        <v>-2500</v>
      </c>
      <c r="G8" s="31">
        <v>0.35714285714285698</v>
      </c>
      <c r="H8" s="31">
        <v>85</v>
      </c>
      <c r="I8" s="31">
        <v>257.10998999999998</v>
      </c>
      <c r="J8" s="31">
        <v>226.736285714286</v>
      </c>
      <c r="M8" s="31">
        <v>13000</v>
      </c>
      <c r="N8" s="31">
        <v>-642774.97499999998</v>
      </c>
    </row>
    <row r="9" spans="1:14" x14ac:dyDescent="0.25">
      <c r="A9" s="31" t="s">
        <v>83</v>
      </c>
      <c r="B9" s="31" t="s">
        <v>318</v>
      </c>
      <c r="C9" s="31" t="s">
        <v>16</v>
      </c>
      <c r="D9" s="31" t="s">
        <v>17</v>
      </c>
      <c r="E9" s="31" t="s">
        <v>22</v>
      </c>
      <c r="F9" s="32">
        <v>-200000</v>
      </c>
      <c r="G9" s="31">
        <v>1</v>
      </c>
      <c r="H9" s="31">
        <v>150</v>
      </c>
      <c r="I9" s="31">
        <v>2.95</v>
      </c>
      <c r="J9" s="31">
        <v>4.6822900000000001</v>
      </c>
      <c r="K9" s="31">
        <v>13.5</v>
      </c>
      <c r="L9" s="31">
        <v>18</v>
      </c>
      <c r="M9" s="31">
        <v>-74000</v>
      </c>
      <c r="N9" s="31">
        <v>-590000</v>
      </c>
    </row>
    <row r="10" spans="1:14" x14ac:dyDescent="0.25">
      <c r="A10" s="31" t="s">
        <v>61</v>
      </c>
      <c r="B10" s="31" t="s">
        <v>319</v>
      </c>
      <c r="C10" s="31" t="s">
        <v>16</v>
      </c>
      <c r="D10" s="31" t="s">
        <v>25</v>
      </c>
      <c r="E10" s="31" t="s">
        <v>31</v>
      </c>
      <c r="F10" s="31">
        <v>-15000</v>
      </c>
      <c r="G10" s="31">
        <v>1</v>
      </c>
      <c r="H10" s="31">
        <v>2</v>
      </c>
      <c r="I10" s="31">
        <v>26.72</v>
      </c>
      <c r="J10" s="31">
        <v>28.231000000000002</v>
      </c>
      <c r="K10" s="31">
        <v>13.75</v>
      </c>
      <c r="L10" s="31">
        <v>16.8</v>
      </c>
      <c r="M10" s="31">
        <v>-2100</v>
      </c>
      <c r="N10" s="31">
        <v>-400800</v>
      </c>
    </row>
    <row r="11" spans="1:14" x14ac:dyDescent="0.25">
      <c r="A11" s="31" t="s">
        <v>84</v>
      </c>
      <c r="B11" s="31" t="s">
        <v>320</v>
      </c>
      <c r="C11" s="31" t="s">
        <v>16</v>
      </c>
      <c r="D11" s="31" t="s">
        <v>25</v>
      </c>
      <c r="E11" s="31" t="s">
        <v>33</v>
      </c>
      <c r="F11" s="31">
        <v>-4000</v>
      </c>
      <c r="G11" s="31">
        <v>1</v>
      </c>
      <c r="H11" s="31">
        <v>73</v>
      </c>
      <c r="I11" s="31">
        <v>347.51</v>
      </c>
      <c r="J11" s="31">
        <v>325.005</v>
      </c>
      <c r="K11" s="31">
        <v>330</v>
      </c>
      <c r="L11" s="31">
        <v>210</v>
      </c>
      <c r="M11" s="31">
        <v>58840</v>
      </c>
      <c r="N11" s="31">
        <v>-1390040</v>
      </c>
    </row>
    <row r="12" spans="1:14" x14ac:dyDescent="0.25">
      <c r="A12" s="31" t="s">
        <v>85</v>
      </c>
      <c r="B12" s="31" t="s">
        <v>321</v>
      </c>
      <c r="C12" s="31" t="s">
        <v>16</v>
      </c>
      <c r="D12" s="31" t="s">
        <v>17</v>
      </c>
      <c r="E12" s="31" t="s">
        <v>47</v>
      </c>
      <c r="F12" s="31">
        <v>-10000</v>
      </c>
      <c r="G12" s="31">
        <v>0.25</v>
      </c>
      <c r="H12" s="31">
        <v>112</v>
      </c>
      <c r="I12" s="31">
        <v>40.49</v>
      </c>
      <c r="J12" s="31">
        <v>28.460149999999999</v>
      </c>
      <c r="M12" s="31">
        <v>-4200</v>
      </c>
      <c r="N12" s="31">
        <v>-404900</v>
      </c>
    </row>
    <row r="13" spans="1:14" x14ac:dyDescent="0.25">
      <c r="A13" s="31" t="s">
        <v>86</v>
      </c>
      <c r="B13" s="31" t="s">
        <v>322</v>
      </c>
      <c r="C13" s="31" t="s">
        <v>16</v>
      </c>
      <c r="D13" s="31" t="s">
        <v>25</v>
      </c>
      <c r="E13" s="31" t="s">
        <v>31</v>
      </c>
      <c r="F13" s="31">
        <v>-25000</v>
      </c>
      <c r="G13" s="31">
        <v>0.5</v>
      </c>
      <c r="H13" s="31">
        <v>85</v>
      </c>
      <c r="I13" s="31">
        <v>39.699999333333302</v>
      </c>
      <c r="J13" s="31">
        <v>42.889240000000001</v>
      </c>
      <c r="K13" s="31">
        <v>9</v>
      </c>
      <c r="L13" s="31">
        <v>10</v>
      </c>
      <c r="M13" s="31">
        <v>0</v>
      </c>
      <c r="N13" s="31">
        <v>-992499.98333333305</v>
      </c>
    </row>
    <row r="14" spans="1:14" x14ac:dyDescent="0.25">
      <c r="A14" s="31" t="s">
        <v>323</v>
      </c>
      <c r="B14" s="31" t="s">
        <v>324</v>
      </c>
      <c r="C14" s="31" t="s">
        <v>16</v>
      </c>
      <c r="D14" s="31" t="s">
        <v>25</v>
      </c>
      <c r="E14" s="31" t="s">
        <v>31</v>
      </c>
      <c r="F14" s="31">
        <v>-20000</v>
      </c>
      <c r="G14" s="31">
        <v>0.57142857142857095</v>
      </c>
      <c r="H14" s="31">
        <v>15</v>
      </c>
      <c r="I14" s="31">
        <v>24.3</v>
      </c>
      <c r="J14" s="31">
        <v>24.4100857142857</v>
      </c>
      <c r="M14" s="31">
        <v>5000</v>
      </c>
      <c r="N14" s="31">
        <v>-486000</v>
      </c>
    </row>
    <row r="15" spans="1:14" x14ac:dyDescent="0.25">
      <c r="A15" s="31" t="s">
        <v>325</v>
      </c>
      <c r="B15" s="31" t="s">
        <v>326</v>
      </c>
      <c r="C15" s="31" t="s">
        <v>16</v>
      </c>
      <c r="D15" s="31" t="s">
        <v>25</v>
      </c>
      <c r="E15" s="31" t="s">
        <v>31</v>
      </c>
      <c r="F15" s="31">
        <v>-15000</v>
      </c>
      <c r="G15" s="31">
        <v>0.42857142857142899</v>
      </c>
      <c r="H15" s="31">
        <v>9</v>
      </c>
      <c r="I15" s="31">
        <v>35.21</v>
      </c>
      <c r="J15" s="31">
        <v>38.939485714285702</v>
      </c>
      <c r="K15" s="31">
        <v>14.4</v>
      </c>
      <c r="L15" s="31">
        <v>17.600000000000001</v>
      </c>
      <c r="M15" s="31">
        <v>40125</v>
      </c>
      <c r="N15" s="31">
        <v>-528150</v>
      </c>
    </row>
    <row r="16" spans="1:14" x14ac:dyDescent="0.25">
      <c r="A16" s="31" t="s">
        <v>76</v>
      </c>
      <c r="B16" s="31" t="s">
        <v>327</v>
      </c>
      <c r="C16" s="31" t="s">
        <v>16</v>
      </c>
      <c r="D16" s="31" t="s">
        <v>25</v>
      </c>
      <c r="E16" s="31" t="s">
        <v>31</v>
      </c>
      <c r="F16" s="31">
        <v>-22000</v>
      </c>
      <c r="G16" s="31">
        <v>1</v>
      </c>
      <c r="H16" s="31">
        <v>15</v>
      </c>
      <c r="I16" s="31">
        <v>29.19</v>
      </c>
      <c r="J16" s="31">
        <v>28.114727272727301</v>
      </c>
      <c r="K16" s="31">
        <v>32</v>
      </c>
      <c r="L16" s="31">
        <v>27</v>
      </c>
      <c r="M16" s="31">
        <v>62040</v>
      </c>
      <c r="N16" s="31">
        <v>-642180</v>
      </c>
    </row>
    <row r="17" spans="1:14" x14ac:dyDescent="0.25">
      <c r="A17" s="31" t="s">
        <v>87</v>
      </c>
      <c r="B17" s="31" t="s">
        <v>328</v>
      </c>
      <c r="C17" s="31" t="s">
        <v>329</v>
      </c>
      <c r="F17" s="31">
        <v>-469368</v>
      </c>
      <c r="H17" s="31">
        <v>0</v>
      </c>
      <c r="I17" s="31">
        <v>274.24</v>
      </c>
      <c r="M17" s="31">
        <v>775661.85</v>
      </c>
      <c r="N17" s="31">
        <v>-128719480.31999999</v>
      </c>
    </row>
    <row r="18" spans="1:14" x14ac:dyDescent="0.25">
      <c r="A18" s="31" t="s">
        <v>88</v>
      </c>
      <c r="B18" s="31" t="s">
        <v>330</v>
      </c>
      <c r="C18" s="31" t="s">
        <v>329</v>
      </c>
      <c r="F18" s="31">
        <v>-434342</v>
      </c>
      <c r="H18" s="31">
        <v>0</v>
      </c>
      <c r="I18" s="31">
        <v>99.059999904285704</v>
      </c>
      <c r="J18" s="31">
        <v>99.342507770918502</v>
      </c>
      <c r="K18" s="31">
        <v>100</v>
      </c>
      <c r="L18" s="31">
        <v>25</v>
      </c>
      <c r="M18" s="31">
        <v>742882.82019999996</v>
      </c>
      <c r="N18" s="31">
        <v>-43025918.478427298</v>
      </c>
    </row>
    <row r="19" spans="1:14" x14ac:dyDescent="0.25">
      <c r="A19" s="31" t="s">
        <v>89</v>
      </c>
      <c r="B19" s="31" t="s">
        <v>331</v>
      </c>
      <c r="C19" s="31" t="s">
        <v>329</v>
      </c>
      <c r="F19" s="31">
        <v>-109553</v>
      </c>
      <c r="H19" s="31">
        <v>0</v>
      </c>
      <c r="I19" s="31">
        <v>73.680000000000007</v>
      </c>
      <c r="J19" s="31">
        <v>73.460544171892295</v>
      </c>
      <c r="M19" s="31">
        <v>88127.794999999096</v>
      </c>
      <c r="N19" s="31">
        <v>-8071865.04</v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D466AD-939D-43BA-9E2E-B93C6B1251A6}">
  <sheetPr codeName="Sheet10"/>
  <dimension ref="A1:H16"/>
  <sheetViews>
    <sheetView workbookViewId="0">
      <selection activeCell="A2" sqref="A2:H16"/>
    </sheetView>
  </sheetViews>
  <sheetFormatPr defaultRowHeight="15" x14ac:dyDescent="0.25"/>
  <cols>
    <col min="1" max="16384" width="9.140625" style="31"/>
  </cols>
  <sheetData>
    <row r="1" spans="1:8" x14ac:dyDescent="0.25">
      <c r="A1" s="31" t="s">
        <v>0</v>
      </c>
      <c r="B1" s="31" t="s">
        <v>1</v>
      </c>
      <c r="C1" s="31" t="s">
        <v>3</v>
      </c>
      <c r="D1" s="31" t="s">
        <v>90</v>
      </c>
      <c r="E1" s="31" t="s">
        <v>332</v>
      </c>
      <c r="F1" s="31" t="s">
        <v>92</v>
      </c>
      <c r="G1" s="31" t="s">
        <v>8</v>
      </c>
      <c r="H1" s="31" t="s">
        <v>93</v>
      </c>
    </row>
    <row r="2" spans="1:8" x14ac:dyDescent="0.25">
      <c r="A2" s="31" t="s">
        <v>424</v>
      </c>
      <c r="B2" s="31" t="s">
        <v>425</v>
      </c>
      <c r="C2" s="31" t="s">
        <v>21</v>
      </c>
      <c r="D2" s="31">
        <v>160000</v>
      </c>
      <c r="E2" s="31">
        <v>2627028.5</v>
      </c>
      <c r="F2" s="31">
        <v>16.418928125000001</v>
      </c>
      <c r="G2" s="31">
        <v>20.2</v>
      </c>
      <c r="H2" s="31">
        <v>160000</v>
      </c>
    </row>
    <row r="3" spans="1:8" x14ac:dyDescent="0.25">
      <c r="A3" s="31" t="s">
        <v>426</v>
      </c>
      <c r="B3" s="31" t="s">
        <v>427</v>
      </c>
      <c r="C3" s="31" t="s">
        <v>21</v>
      </c>
      <c r="D3" s="31">
        <v>105000</v>
      </c>
      <c r="E3" s="31">
        <v>2763360.5</v>
      </c>
      <c r="F3" s="31">
        <v>26.317719047619001</v>
      </c>
      <c r="G3" s="31">
        <v>31.2</v>
      </c>
      <c r="H3" s="31">
        <v>105000</v>
      </c>
    </row>
    <row r="4" spans="1:8" x14ac:dyDescent="0.25">
      <c r="A4" s="31" t="s">
        <v>428</v>
      </c>
      <c r="B4" s="31" t="s">
        <v>429</v>
      </c>
      <c r="C4" s="31" t="s">
        <v>17</v>
      </c>
      <c r="D4" s="31">
        <v>124400</v>
      </c>
      <c r="E4" s="31">
        <v>3520520</v>
      </c>
      <c r="F4" s="31">
        <v>28.3</v>
      </c>
      <c r="G4" s="31">
        <v>27.89</v>
      </c>
      <c r="H4" s="31">
        <v>124400</v>
      </c>
    </row>
    <row r="5" spans="1:8" x14ac:dyDescent="0.25">
      <c r="A5" s="31" t="s">
        <v>430</v>
      </c>
      <c r="B5" s="31" t="s">
        <v>431</v>
      </c>
      <c r="C5" s="31" t="s">
        <v>25</v>
      </c>
      <c r="D5" s="31">
        <v>502500</v>
      </c>
      <c r="E5" s="31">
        <v>6963860</v>
      </c>
      <c r="F5" s="31">
        <v>13.8584278606965</v>
      </c>
      <c r="G5" s="31">
        <v>13.64</v>
      </c>
      <c r="H5" s="31">
        <v>502500</v>
      </c>
    </row>
    <row r="6" spans="1:8" x14ac:dyDescent="0.25">
      <c r="A6" s="31" t="s">
        <v>333</v>
      </c>
      <c r="B6" s="31" t="s">
        <v>334</v>
      </c>
      <c r="C6" s="31" t="s">
        <v>25</v>
      </c>
      <c r="D6" s="31">
        <v>90000</v>
      </c>
      <c r="E6" s="31">
        <v>4835989</v>
      </c>
      <c r="F6" s="31">
        <v>53.733211111111103</v>
      </c>
      <c r="G6" s="31">
        <v>56.04</v>
      </c>
      <c r="H6" s="31">
        <v>115000</v>
      </c>
    </row>
    <row r="7" spans="1:8" x14ac:dyDescent="0.25">
      <c r="A7" s="31" t="s">
        <v>432</v>
      </c>
      <c r="B7" s="31" t="s">
        <v>433</v>
      </c>
      <c r="C7" s="31" t="s">
        <v>25</v>
      </c>
      <c r="D7" s="32">
        <v>300000</v>
      </c>
      <c r="E7" s="31">
        <v>18903390</v>
      </c>
      <c r="F7" s="31">
        <v>63.011299999999999</v>
      </c>
      <c r="G7" s="31">
        <v>62.15</v>
      </c>
      <c r="H7" s="32">
        <v>300000</v>
      </c>
    </row>
    <row r="8" spans="1:8" x14ac:dyDescent="0.25">
      <c r="A8" s="31" t="s">
        <v>434</v>
      </c>
      <c r="B8" s="31" t="s">
        <v>435</v>
      </c>
      <c r="C8" s="31" t="s">
        <v>25</v>
      </c>
      <c r="D8" s="31">
        <v>70000</v>
      </c>
      <c r="E8" s="31">
        <v>1014300</v>
      </c>
      <c r="F8" s="31">
        <v>14.49</v>
      </c>
      <c r="G8" s="31">
        <v>18.350000000000001</v>
      </c>
      <c r="H8" s="31">
        <v>70000</v>
      </c>
    </row>
    <row r="9" spans="1:8" x14ac:dyDescent="0.25">
      <c r="A9" s="31" t="s">
        <v>436</v>
      </c>
      <c r="B9" s="31" t="s">
        <v>437</v>
      </c>
      <c r="C9" s="31" t="s">
        <v>21</v>
      </c>
      <c r="D9" s="32">
        <v>100000</v>
      </c>
      <c r="E9" s="31">
        <v>1693550</v>
      </c>
      <c r="F9" s="31">
        <v>16.935500000000001</v>
      </c>
      <c r="G9" s="31">
        <v>17.75</v>
      </c>
      <c r="H9" s="32">
        <v>100000</v>
      </c>
    </row>
    <row r="10" spans="1:8" x14ac:dyDescent="0.25">
      <c r="A10" s="31" t="s">
        <v>438</v>
      </c>
      <c r="B10" s="31" t="s">
        <v>413</v>
      </c>
      <c r="C10" s="31" t="s">
        <v>17</v>
      </c>
      <c r="D10" s="31">
        <v>125000</v>
      </c>
      <c r="E10" s="31">
        <v>2750000</v>
      </c>
      <c r="F10" s="31">
        <v>22</v>
      </c>
      <c r="G10" s="31">
        <v>25.63</v>
      </c>
      <c r="H10" s="31">
        <v>70851</v>
      </c>
    </row>
    <row r="11" spans="1:8" x14ac:dyDescent="0.25">
      <c r="A11" s="31" t="s">
        <v>439</v>
      </c>
      <c r="B11" s="31" t="s">
        <v>440</v>
      </c>
      <c r="C11" s="31" t="s">
        <v>21</v>
      </c>
      <c r="D11" s="31">
        <v>137500</v>
      </c>
      <c r="E11" s="31">
        <v>2083868</v>
      </c>
      <c r="F11" s="31">
        <v>15.1554036363636</v>
      </c>
      <c r="G11" s="31">
        <v>14.52</v>
      </c>
      <c r="H11" s="31">
        <v>137500</v>
      </c>
    </row>
    <row r="12" spans="1:8" x14ac:dyDescent="0.25">
      <c r="A12" s="31" t="s">
        <v>441</v>
      </c>
      <c r="B12" s="31" t="s">
        <v>442</v>
      </c>
      <c r="C12" s="31" t="s">
        <v>21</v>
      </c>
      <c r="D12" s="31">
        <v>90779</v>
      </c>
      <c r="E12" s="31">
        <v>1347582.9018000001</v>
      </c>
      <c r="F12" s="31">
        <v>14.844654620562</v>
      </c>
      <c r="G12" s="31">
        <v>14.93</v>
      </c>
      <c r="H12" s="31">
        <v>90779</v>
      </c>
    </row>
    <row r="13" spans="1:8" x14ac:dyDescent="0.25">
      <c r="A13" s="31" t="s">
        <v>335</v>
      </c>
      <c r="B13" s="31" t="s">
        <v>336</v>
      </c>
      <c r="C13" s="31" t="s">
        <v>25</v>
      </c>
      <c r="D13" s="31">
        <v>24100</v>
      </c>
      <c r="E13" s="31">
        <v>684145.49</v>
      </c>
      <c r="F13" s="31">
        <v>28.387779668049799</v>
      </c>
      <c r="G13" s="31">
        <v>29.43</v>
      </c>
      <c r="H13" s="31">
        <v>64100</v>
      </c>
    </row>
    <row r="14" spans="1:8" x14ac:dyDescent="0.25">
      <c r="A14" s="31" t="s">
        <v>443</v>
      </c>
      <c r="B14" s="31" t="s">
        <v>444</v>
      </c>
      <c r="C14" s="31" t="s">
        <v>21</v>
      </c>
      <c r="D14" s="31">
        <v>90000</v>
      </c>
      <c r="E14" s="31">
        <v>2420847.75</v>
      </c>
      <c r="F14" s="31">
        <v>26.898308333333301</v>
      </c>
      <c r="G14" s="31">
        <v>32.909999999999997</v>
      </c>
      <c r="H14" s="31">
        <v>115000</v>
      </c>
    </row>
    <row r="15" spans="1:8" x14ac:dyDescent="0.25">
      <c r="A15" s="31" t="s">
        <v>445</v>
      </c>
      <c r="B15" s="31" t="s">
        <v>446</v>
      </c>
      <c r="C15" s="31" t="s">
        <v>25</v>
      </c>
      <c r="D15" s="31">
        <v>40000</v>
      </c>
      <c r="E15" s="31">
        <v>720000</v>
      </c>
      <c r="F15" s="31">
        <v>18</v>
      </c>
      <c r="G15" s="31">
        <v>17.989999999999998</v>
      </c>
      <c r="H15" s="31">
        <v>22672</v>
      </c>
    </row>
    <row r="16" spans="1:8" x14ac:dyDescent="0.25">
      <c r="A16" s="31" t="s">
        <v>447</v>
      </c>
      <c r="B16" s="31" t="s">
        <v>448</v>
      </c>
      <c r="C16" s="31" t="s">
        <v>21</v>
      </c>
      <c r="D16" s="31">
        <v>162019</v>
      </c>
      <c r="E16" s="31">
        <v>2567201.0543999998</v>
      </c>
      <c r="F16" s="31">
        <v>15.8450617174529</v>
      </c>
      <c r="G16" s="31">
        <v>20.22</v>
      </c>
      <c r="H16" s="31">
        <v>162019</v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D539E-EE71-4CA0-B39B-53C8C11FBED3}">
  <sheetPr codeName="Sheet11"/>
  <dimension ref="A1:H28"/>
  <sheetViews>
    <sheetView workbookViewId="0">
      <selection activeCell="A2" sqref="A2:H28"/>
    </sheetView>
  </sheetViews>
  <sheetFormatPr defaultRowHeight="15" x14ac:dyDescent="0.25"/>
  <cols>
    <col min="1" max="16384" width="9.140625" style="31"/>
  </cols>
  <sheetData>
    <row r="1" spans="1:8" x14ac:dyDescent="0.25">
      <c r="A1" s="31" t="s">
        <v>0</v>
      </c>
      <c r="B1" s="31" t="s">
        <v>1</v>
      </c>
      <c r="C1" s="31" t="s">
        <v>3</v>
      </c>
      <c r="D1" s="31" t="s">
        <v>90</v>
      </c>
      <c r="E1" s="31" t="s">
        <v>332</v>
      </c>
      <c r="F1" s="31" t="s">
        <v>92</v>
      </c>
      <c r="G1" s="31" t="s">
        <v>8</v>
      </c>
      <c r="H1" s="31" t="s">
        <v>93</v>
      </c>
    </row>
    <row r="2" spans="1:8" x14ac:dyDescent="0.25">
      <c r="A2" s="31" t="s">
        <v>449</v>
      </c>
      <c r="B2" s="31" t="s">
        <v>450</v>
      </c>
      <c r="C2" s="31" t="s">
        <v>337</v>
      </c>
      <c r="D2" s="31">
        <v>20000</v>
      </c>
      <c r="E2" s="31">
        <v>1115977.48</v>
      </c>
      <c r="F2" s="31">
        <v>55.798873999999998</v>
      </c>
      <c r="G2" s="31">
        <v>51.04</v>
      </c>
      <c r="H2" s="31">
        <v>80000</v>
      </c>
    </row>
    <row r="3" spans="1:8" x14ac:dyDescent="0.25">
      <c r="A3" s="31" t="s">
        <v>339</v>
      </c>
      <c r="B3" s="31" t="s">
        <v>340</v>
      </c>
      <c r="C3" s="31" t="s">
        <v>237</v>
      </c>
      <c r="D3" s="31">
        <v>25000</v>
      </c>
      <c r="E3" s="31">
        <v>528395.62</v>
      </c>
      <c r="F3" s="31">
        <v>21.135824800000002</v>
      </c>
      <c r="G3" s="31">
        <v>21.17</v>
      </c>
      <c r="H3" s="31">
        <v>120000</v>
      </c>
    </row>
    <row r="4" spans="1:8" x14ac:dyDescent="0.25">
      <c r="A4" s="31" t="s">
        <v>341</v>
      </c>
      <c r="B4" s="31" t="s">
        <v>342</v>
      </c>
      <c r="C4" s="31" t="s">
        <v>237</v>
      </c>
      <c r="D4" s="31">
        <v>25000</v>
      </c>
      <c r="E4" s="31">
        <v>562890.16</v>
      </c>
      <c r="F4" s="31">
        <v>22.515606399999999</v>
      </c>
      <c r="H4" s="31">
        <v>0</v>
      </c>
    </row>
    <row r="5" spans="1:8" x14ac:dyDescent="0.25">
      <c r="A5" s="31" t="s">
        <v>451</v>
      </c>
      <c r="B5" s="31" t="s">
        <v>452</v>
      </c>
      <c r="C5" s="31" t="s">
        <v>237</v>
      </c>
      <c r="D5" s="31">
        <v>25000</v>
      </c>
      <c r="E5" s="31">
        <v>976317.29</v>
      </c>
      <c r="F5" s="31">
        <v>39.052691600000003</v>
      </c>
      <c r="G5" s="31">
        <v>39.29</v>
      </c>
      <c r="H5" s="31">
        <v>50000</v>
      </c>
    </row>
    <row r="6" spans="1:8" x14ac:dyDescent="0.25">
      <c r="A6" s="31" t="s">
        <v>343</v>
      </c>
      <c r="B6" s="31" t="s">
        <v>344</v>
      </c>
      <c r="C6" s="31" t="s">
        <v>17</v>
      </c>
      <c r="D6" s="31">
        <v>15000</v>
      </c>
      <c r="E6" s="31">
        <v>349756.45</v>
      </c>
      <c r="F6" s="31">
        <v>23.3170966666667</v>
      </c>
      <c r="G6" s="31">
        <v>23.2</v>
      </c>
      <c r="H6" s="31">
        <v>40000</v>
      </c>
    </row>
    <row r="7" spans="1:8" x14ac:dyDescent="0.25">
      <c r="A7" s="31" t="s">
        <v>345</v>
      </c>
      <c r="B7" s="31" t="s">
        <v>346</v>
      </c>
      <c r="C7" s="31" t="s">
        <v>21</v>
      </c>
      <c r="D7" s="31">
        <v>5028</v>
      </c>
      <c r="E7" s="31">
        <v>226038.8548</v>
      </c>
      <c r="F7" s="31">
        <v>44.9560172633254</v>
      </c>
      <c r="G7" s="31">
        <v>44.95</v>
      </c>
      <c r="H7" s="31">
        <v>144322</v>
      </c>
    </row>
    <row r="8" spans="1:8" x14ac:dyDescent="0.25">
      <c r="A8" s="31" t="s">
        <v>347</v>
      </c>
      <c r="B8" s="31" t="s">
        <v>348</v>
      </c>
      <c r="C8" s="31" t="s">
        <v>237</v>
      </c>
      <c r="D8" s="31">
        <v>25000</v>
      </c>
      <c r="E8" s="31">
        <v>528903.1</v>
      </c>
      <c r="F8" s="31">
        <v>21.156123999999998</v>
      </c>
      <c r="G8" s="31">
        <v>21.2099993558333</v>
      </c>
      <c r="H8" s="31">
        <v>1883619</v>
      </c>
    </row>
    <row r="9" spans="1:8" x14ac:dyDescent="0.25">
      <c r="A9" s="31" t="s">
        <v>349</v>
      </c>
      <c r="B9" s="31" t="s">
        <v>350</v>
      </c>
      <c r="C9" s="31" t="s">
        <v>337</v>
      </c>
      <c r="D9" s="31">
        <v>65000</v>
      </c>
      <c r="E9" s="31">
        <v>1381712.99</v>
      </c>
      <c r="F9" s="31">
        <v>21.257122923076899</v>
      </c>
      <c r="G9" s="31">
        <v>21.259999968750002</v>
      </c>
      <c r="H9" s="31">
        <v>65000</v>
      </c>
    </row>
    <row r="10" spans="1:8" x14ac:dyDescent="0.25">
      <c r="A10" s="31" t="s">
        <v>351</v>
      </c>
      <c r="B10" s="31" t="s">
        <v>352</v>
      </c>
      <c r="C10" s="31" t="s">
        <v>17</v>
      </c>
      <c r="D10" s="31">
        <v>25000</v>
      </c>
      <c r="E10" s="31">
        <v>1075128.5</v>
      </c>
      <c r="F10" s="31">
        <v>43.005139999999997</v>
      </c>
      <c r="G10" s="31">
        <v>42.440000480000002</v>
      </c>
      <c r="H10" s="31">
        <v>10000</v>
      </c>
    </row>
    <row r="11" spans="1:8" x14ac:dyDescent="0.25">
      <c r="A11" s="31" t="s">
        <v>353</v>
      </c>
      <c r="B11" s="31" t="s">
        <v>354</v>
      </c>
      <c r="C11" s="31" t="s">
        <v>237</v>
      </c>
      <c r="D11" s="31">
        <v>17100</v>
      </c>
      <c r="E11" s="31">
        <v>1282045.55</v>
      </c>
      <c r="F11" s="31">
        <v>74.973423976608203</v>
      </c>
      <c r="G11" s="31">
        <v>73.58</v>
      </c>
      <c r="H11" s="31">
        <v>157032</v>
      </c>
    </row>
    <row r="12" spans="1:8" x14ac:dyDescent="0.25">
      <c r="A12" s="31" t="s">
        <v>355</v>
      </c>
      <c r="B12" s="31" t="s">
        <v>356</v>
      </c>
      <c r="C12" s="31" t="s">
        <v>337</v>
      </c>
      <c r="D12" s="31">
        <v>96153</v>
      </c>
      <c r="E12" s="31">
        <v>2274738.8034000001</v>
      </c>
      <c r="F12" s="31">
        <v>23.657491741287298</v>
      </c>
      <c r="G12" s="31">
        <v>23.69</v>
      </c>
      <c r="H12" s="31">
        <v>674478</v>
      </c>
    </row>
    <row r="13" spans="1:8" x14ac:dyDescent="0.25">
      <c r="A13" s="31" t="s">
        <v>357</v>
      </c>
      <c r="B13" s="31" t="s">
        <v>358</v>
      </c>
      <c r="C13" s="31" t="s">
        <v>21</v>
      </c>
      <c r="D13" s="31">
        <v>15100</v>
      </c>
      <c r="E13" s="31">
        <v>482651.9</v>
      </c>
      <c r="F13" s="31">
        <v>31.963701986755002</v>
      </c>
      <c r="G13" s="31">
        <v>30.99</v>
      </c>
      <c r="H13" s="31">
        <v>16955</v>
      </c>
    </row>
    <row r="14" spans="1:8" x14ac:dyDescent="0.25">
      <c r="A14" s="31" t="s">
        <v>359</v>
      </c>
      <c r="B14" s="31" t="s">
        <v>360</v>
      </c>
      <c r="C14" s="31" t="s">
        <v>237</v>
      </c>
      <c r="D14" s="31">
        <v>19606</v>
      </c>
      <c r="E14" s="31">
        <v>2057968.0056</v>
      </c>
      <c r="F14" s="31">
        <v>104.9662351117</v>
      </c>
      <c r="G14" s="31">
        <v>104.73</v>
      </c>
      <c r="H14" s="31">
        <v>164276</v>
      </c>
    </row>
    <row r="15" spans="1:8" x14ac:dyDescent="0.25">
      <c r="A15" s="31" t="s">
        <v>361</v>
      </c>
      <c r="B15" s="31" t="s">
        <v>362</v>
      </c>
      <c r="C15" s="31" t="s">
        <v>338</v>
      </c>
      <c r="D15" s="31">
        <v>50483</v>
      </c>
      <c r="E15" s="31">
        <v>604495.48320000002</v>
      </c>
      <c r="F15" s="31">
        <v>11.974238519897799</v>
      </c>
      <c r="G15" s="31">
        <v>12</v>
      </c>
      <c r="H15" s="31">
        <v>41717</v>
      </c>
    </row>
    <row r="16" spans="1:8" x14ac:dyDescent="0.25">
      <c r="A16" s="31" t="s">
        <v>453</v>
      </c>
      <c r="B16" s="31" t="s">
        <v>454</v>
      </c>
      <c r="C16" s="31" t="s">
        <v>375</v>
      </c>
      <c r="D16" s="31">
        <v>3000</v>
      </c>
      <c r="E16" s="31">
        <v>962.32</v>
      </c>
      <c r="F16" s="31">
        <v>0.32077333333333302</v>
      </c>
    </row>
    <row r="17" spans="1:8" x14ac:dyDescent="0.25">
      <c r="A17" s="31" t="s">
        <v>455</v>
      </c>
      <c r="B17" s="31" t="s">
        <v>456</v>
      </c>
      <c r="C17" s="31" t="s">
        <v>338</v>
      </c>
      <c r="D17" s="31">
        <v>15041</v>
      </c>
      <c r="E17" s="31">
        <v>194306.1226</v>
      </c>
      <c r="F17" s="31">
        <v>12.9184311282495</v>
      </c>
      <c r="G17" s="31">
        <v>12.79</v>
      </c>
      <c r="H17" s="31">
        <v>84959</v>
      </c>
    </row>
    <row r="18" spans="1:8" x14ac:dyDescent="0.25">
      <c r="A18" s="31" t="s">
        <v>363</v>
      </c>
      <c r="B18" s="31" t="s">
        <v>364</v>
      </c>
      <c r="C18" s="31" t="s">
        <v>237</v>
      </c>
      <c r="D18" s="31">
        <v>15000</v>
      </c>
      <c r="E18" s="31">
        <v>293957.15999999997</v>
      </c>
      <c r="F18" s="31">
        <v>19.597144</v>
      </c>
      <c r="G18" s="31">
        <v>19.400000299999999</v>
      </c>
      <c r="H18" s="31">
        <v>140000</v>
      </c>
    </row>
    <row r="19" spans="1:8" x14ac:dyDescent="0.25">
      <c r="A19" s="31" t="s">
        <v>365</v>
      </c>
      <c r="B19" s="31" t="s">
        <v>366</v>
      </c>
      <c r="C19" s="31" t="s">
        <v>338</v>
      </c>
      <c r="D19" s="31">
        <v>30000</v>
      </c>
      <c r="E19" s="31">
        <v>155796.95000000001</v>
      </c>
      <c r="F19" s="31">
        <v>5.1932316666666702</v>
      </c>
      <c r="G19" s="31">
        <v>5.3</v>
      </c>
      <c r="H19" s="31">
        <v>80000</v>
      </c>
    </row>
    <row r="20" spans="1:8" x14ac:dyDescent="0.25">
      <c r="A20" s="31" t="s">
        <v>367</v>
      </c>
      <c r="B20" s="31" t="s">
        <v>368</v>
      </c>
      <c r="C20" s="31" t="s">
        <v>337</v>
      </c>
      <c r="D20" s="31">
        <v>15557</v>
      </c>
      <c r="E20" s="31">
        <v>372621.08110000001</v>
      </c>
      <c r="F20" s="31">
        <v>23.951988243234599</v>
      </c>
      <c r="G20" s="31">
        <v>24.92</v>
      </c>
      <c r="H20" s="31">
        <v>14880</v>
      </c>
    </row>
    <row r="21" spans="1:8" x14ac:dyDescent="0.25">
      <c r="A21" s="31" t="s">
        <v>369</v>
      </c>
      <c r="B21" s="31" t="s">
        <v>370</v>
      </c>
      <c r="C21" s="31" t="s">
        <v>337</v>
      </c>
      <c r="D21" s="31">
        <v>70000</v>
      </c>
      <c r="E21" s="31">
        <v>3971797.32</v>
      </c>
      <c r="F21" s="31">
        <v>56.739961714285698</v>
      </c>
      <c r="G21" s="31">
        <v>56.35</v>
      </c>
      <c r="H21" s="31">
        <v>83629</v>
      </c>
    </row>
    <row r="22" spans="1:8" x14ac:dyDescent="0.25">
      <c r="A22" s="31" t="s">
        <v>457</v>
      </c>
      <c r="B22" s="31" t="s">
        <v>458</v>
      </c>
      <c r="C22" s="31" t="s">
        <v>17</v>
      </c>
      <c r="D22" s="31">
        <v>40000</v>
      </c>
      <c r="E22" s="31">
        <v>547216.86</v>
      </c>
      <c r="F22" s="31">
        <v>13.6804215</v>
      </c>
      <c r="G22" s="31">
        <v>13.63</v>
      </c>
      <c r="H22" s="31">
        <v>75000</v>
      </c>
    </row>
    <row r="23" spans="1:8" x14ac:dyDescent="0.25">
      <c r="A23" s="31" t="s">
        <v>459</v>
      </c>
      <c r="B23" s="31" t="s">
        <v>460</v>
      </c>
      <c r="C23" s="31" t="s">
        <v>338</v>
      </c>
      <c r="D23" s="31">
        <v>10000</v>
      </c>
      <c r="E23" s="31">
        <v>225545.05</v>
      </c>
      <c r="F23" s="31">
        <v>22.554504999999999</v>
      </c>
      <c r="G23" s="31">
        <v>23.17</v>
      </c>
      <c r="H23" s="31">
        <v>70000</v>
      </c>
    </row>
    <row r="24" spans="1:8" x14ac:dyDescent="0.25">
      <c r="A24" s="31" t="s">
        <v>461</v>
      </c>
      <c r="B24" s="31" t="s">
        <v>462</v>
      </c>
      <c r="C24" s="31" t="s">
        <v>17</v>
      </c>
      <c r="D24" s="31">
        <v>40000</v>
      </c>
      <c r="E24" s="31">
        <v>356427.34</v>
      </c>
      <c r="F24" s="31">
        <v>8.9106834999999993</v>
      </c>
      <c r="G24" s="31">
        <v>8.9</v>
      </c>
      <c r="H24" s="31">
        <v>30000</v>
      </c>
    </row>
    <row r="25" spans="1:8" x14ac:dyDescent="0.25">
      <c r="A25" s="31" t="s">
        <v>371</v>
      </c>
      <c r="B25" s="31" t="s">
        <v>372</v>
      </c>
      <c r="C25" s="31" t="s">
        <v>25</v>
      </c>
      <c r="D25" s="31">
        <v>70000</v>
      </c>
      <c r="E25" s="31">
        <v>965329.41</v>
      </c>
      <c r="F25" s="31">
        <v>13.7904201428571</v>
      </c>
      <c r="G25" s="31">
        <v>13.8</v>
      </c>
      <c r="H25" s="31">
        <v>84055</v>
      </c>
    </row>
    <row r="26" spans="1:8" x14ac:dyDescent="0.25">
      <c r="A26" s="31" t="s">
        <v>463</v>
      </c>
      <c r="B26" s="31" t="s">
        <v>464</v>
      </c>
      <c r="C26" s="31" t="s">
        <v>338</v>
      </c>
      <c r="D26" s="31">
        <v>36259</v>
      </c>
      <c r="E26" s="31">
        <v>405158.01179999998</v>
      </c>
      <c r="F26" s="31">
        <v>11.1739985051987</v>
      </c>
      <c r="G26" s="31">
        <v>10.95</v>
      </c>
      <c r="H26" s="31">
        <v>273741</v>
      </c>
    </row>
    <row r="27" spans="1:8" x14ac:dyDescent="0.25">
      <c r="A27" s="31" t="s">
        <v>373</v>
      </c>
      <c r="B27" s="31" t="s">
        <v>374</v>
      </c>
      <c r="C27" s="31" t="s">
        <v>375</v>
      </c>
      <c r="D27" s="31">
        <v>13500</v>
      </c>
      <c r="E27" s="31">
        <v>66975.23</v>
      </c>
      <c r="F27" s="31">
        <v>4.9611281481481502</v>
      </c>
      <c r="G27" s="31">
        <v>5.059999017</v>
      </c>
      <c r="H27" s="31">
        <v>10173</v>
      </c>
    </row>
    <row r="28" spans="1:8" x14ac:dyDescent="0.25">
      <c r="A28" s="31" t="s">
        <v>376</v>
      </c>
      <c r="B28" s="31" t="s">
        <v>377</v>
      </c>
      <c r="C28" s="31" t="s">
        <v>237</v>
      </c>
      <c r="D28" s="31">
        <v>25000</v>
      </c>
      <c r="E28" s="31">
        <v>737755.39</v>
      </c>
      <c r="F28" s="31">
        <v>29.510215599999999</v>
      </c>
      <c r="G28" s="31">
        <v>29.75</v>
      </c>
      <c r="H28" s="31">
        <v>185000</v>
      </c>
    </row>
  </sheetData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CA006-0B38-4262-9AD9-F10E8EDDE83D}">
  <sheetPr codeName="Sheet12"/>
  <dimension ref="A1:H2"/>
  <sheetViews>
    <sheetView workbookViewId="0">
      <selection activeCell="A2" sqref="A2:H2"/>
    </sheetView>
  </sheetViews>
  <sheetFormatPr defaultRowHeight="15" x14ac:dyDescent="0.25"/>
  <cols>
    <col min="1" max="16384" width="9.140625" style="31"/>
  </cols>
  <sheetData>
    <row r="1" spans="1:8" x14ac:dyDescent="0.25">
      <c r="A1" s="31" t="s">
        <v>0</v>
      </c>
      <c r="B1" s="31" t="s">
        <v>1</v>
      </c>
      <c r="C1" s="31" t="s">
        <v>3</v>
      </c>
      <c r="D1" s="31" t="s">
        <v>90</v>
      </c>
      <c r="E1" s="31" t="s">
        <v>332</v>
      </c>
      <c r="F1" s="31" t="s">
        <v>92</v>
      </c>
      <c r="G1" s="31" t="s">
        <v>8</v>
      </c>
      <c r="H1" s="31" t="s">
        <v>93</v>
      </c>
    </row>
    <row r="2" spans="1:8" x14ac:dyDescent="0.25">
      <c r="A2" s="31" t="s">
        <v>465</v>
      </c>
      <c r="B2" s="31" t="s">
        <v>466</v>
      </c>
      <c r="C2" s="31" t="s">
        <v>337</v>
      </c>
      <c r="D2" s="31">
        <v>10000</v>
      </c>
      <c r="E2" s="31">
        <v>280227.34999999998</v>
      </c>
      <c r="F2" s="31">
        <v>28.022735000000001</v>
      </c>
      <c r="G2" s="31">
        <v>26.67</v>
      </c>
      <c r="H2" s="31">
        <v>-10000</v>
      </c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D2D8A-2A10-4B88-A912-4B5A2CF6485F}">
  <sheetPr codeName="Sheet13"/>
  <dimension ref="A1:D12"/>
  <sheetViews>
    <sheetView workbookViewId="0">
      <selection activeCell="A2" sqref="A2:D12"/>
    </sheetView>
  </sheetViews>
  <sheetFormatPr defaultRowHeight="15" x14ac:dyDescent="0.25"/>
  <cols>
    <col min="1" max="16384" width="9.140625" style="31"/>
  </cols>
  <sheetData>
    <row r="1" spans="1:4" x14ac:dyDescent="0.25">
      <c r="A1" s="31" t="s">
        <v>4</v>
      </c>
      <c r="B1" s="31" t="s">
        <v>100</v>
      </c>
      <c r="C1" s="31" t="s">
        <v>101</v>
      </c>
      <c r="D1" s="31" t="s">
        <v>102</v>
      </c>
    </row>
    <row r="2" spans="1:4" x14ac:dyDescent="0.25">
      <c r="A2" s="31" t="s">
        <v>103</v>
      </c>
      <c r="B2" s="31">
        <v>31384590</v>
      </c>
      <c r="C2" s="31">
        <v>5.3730980658867798E-2</v>
      </c>
      <c r="D2" s="31">
        <v>6.77652602912725E-2</v>
      </c>
    </row>
    <row r="3" spans="1:4" x14ac:dyDescent="0.25">
      <c r="A3" s="31" t="s">
        <v>105</v>
      </c>
      <c r="B3" s="31">
        <v>43477864.5</v>
      </c>
      <c r="C3" s="31">
        <v>7.4434883378701994E-2</v>
      </c>
      <c r="D3" s="31">
        <v>9.3876925100859293E-2</v>
      </c>
    </row>
    <row r="4" spans="1:4" x14ac:dyDescent="0.25">
      <c r="A4" s="31" t="s">
        <v>106</v>
      </c>
      <c r="B4" s="31">
        <v>114754360.126285</v>
      </c>
      <c r="C4" s="31">
        <v>0.19646152154500601</v>
      </c>
      <c r="D4" s="31">
        <v>0.24777634767623699</v>
      </c>
    </row>
    <row r="5" spans="1:4" x14ac:dyDescent="0.25">
      <c r="A5" s="31" t="s">
        <v>107</v>
      </c>
      <c r="B5" s="31">
        <v>93551974.329999998</v>
      </c>
      <c r="C5" s="31">
        <v>0.16016265700218299</v>
      </c>
      <c r="D5" s="31">
        <v>0.201996390306035</v>
      </c>
    </row>
    <row r="6" spans="1:4" x14ac:dyDescent="0.25">
      <c r="A6" s="31" t="s">
        <v>108</v>
      </c>
      <c r="B6" s="31">
        <v>39615665.229999997</v>
      </c>
      <c r="C6" s="31">
        <v>6.7822728997298104E-2</v>
      </c>
      <c r="D6" s="31">
        <v>8.55377070697073E-2</v>
      </c>
    </row>
    <row r="7" spans="1:4" x14ac:dyDescent="0.25">
      <c r="A7" s="31" t="s">
        <v>109</v>
      </c>
      <c r="B7" s="31">
        <v>108020454.887969</v>
      </c>
      <c r="C7" s="31">
        <v>0.18493295506959201</v>
      </c>
      <c r="D7" s="31">
        <v>0.23323657381743301</v>
      </c>
    </row>
    <row r="8" spans="1:4" x14ac:dyDescent="0.25">
      <c r="A8" s="31" t="s">
        <v>110</v>
      </c>
      <c r="B8" s="31">
        <v>12937502.868000001</v>
      </c>
      <c r="C8" s="31">
        <v>2.2149236818915102E-2</v>
      </c>
      <c r="D8" s="31">
        <v>2.7934513382813199E-2</v>
      </c>
    </row>
    <row r="9" spans="1:4" x14ac:dyDescent="0.25">
      <c r="A9" s="31" t="s">
        <v>111</v>
      </c>
      <c r="B9" s="31">
        <v>5819850</v>
      </c>
      <c r="C9" s="31">
        <v>9.9636875226826894E-3</v>
      </c>
      <c r="D9" s="31">
        <v>1.25661558779695E-2</v>
      </c>
    </row>
    <row r="10" spans="1:4" x14ac:dyDescent="0.25">
      <c r="A10" s="31" t="s">
        <v>112</v>
      </c>
      <c r="B10" s="31">
        <v>4792200</v>
      </c>
      <c r="C10" s="31">
        <v>8.2043323017259792E-3</v>
      </c>
      <c r="D10" s="31">
        <v>1.0347265341616301E-2</v>
      </c>
    </row>
    <row r="11" spans="1:4" x14ac:dyDescent="0.25">
      <c r="A11" s="31" t="s">
        <v>113</v>
      </c>
      <c r="B11" s="31">
        <v>8782400</v>
      </c>
      <c r="C11" s="31">
        <v>1.50356262273441E-2</v>
      </c>
      <c r="D11" s="31">
        <v>1.8962861136056601E-2</v>
      </c>
    </row>
    <row r="12" spans="1:4" x14ac:dyDescent="0.25">
      <c r="A12" s="31" t="s">
        <v>104</v>
      </c>
      <c r="B12" s="31">
        <v>0</v>
      </c>
      <c r="C12" s="31">
        <v>0</v>
      </c>
      <c r="D12" s="31">
        <v>0</v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C83A1-3B51-4A94-8982-AF788EE34A69}">
  <sheetPr codeName="Sheet14"/>
  <dimension ref="A1:D11"/>
  <sheetViews>
    <sheetView workbookViewId="0">
      <selection activeCell="A2" sqref="A2:D11"/>
    </sheetView>
  </sheetViews>
  <sheetFormatPr defaultRowHeight="15" x14ac:dyDescent="0.25"/>
  <cols>
    <col min="1" max="16384" width="9.140625" style="31"/>
  </cols>
  <sheetData>
    <row r="1" spans="1:4" x14ac:dyDescent="0.25">
      <c r="A1" s="31" t="s">
        <v>0</v>
      </c>
      <c r="B1" s="31" t="s">
        <v>118</v>
      </c>
      <c r="C1" s="31" t="s">
        <v>12</v>
      </c>
      <c r="D1" s="31" t="s">
        <v>114</v>
      </c>
    </row>
    <row r="2" spans="1:4" x14ac:dyDescent="0.25">
      <c r="A2" s="31" t="s">
        <v>180</v>
      </c>
      <c r="B2" s="31">
        <v>39951557.776635401</v>
      </c>
      <c r="C2" s="31">
        <v>151339.56000000099</v>
      </c>
      <c r="D2" s="31">
        <v>2.5909603953027998E-4</v>
      </c>
    </row>
    <row r="3" spans="1:4" x14ac:dyDescent="0.25">
      <c r="A3" s="31" t="s">
        <v>252</v>
      </c>
      <c r="B3" s="31">
        <v>31814180</v>
      </c>
      <c r="C3" s="31">
        <v>122480.000000001</v>
      </c>
      <c r="D3" s="31">
        <v>2.0968795549338701E-4</v>
      </c>
    </row>
    <row r="4" spans="1:4" x14ac:dyDescent="0.25">
      <c r="A4" s="31" t="s">
        <v>406</v>
      </c>
      <c r="B4" s="31">
        <v>18645000</v>
      </c>
      <c r="C4" s="31">
        <v>-258390.00829999999</v>
      </c>
      <c r="D4" s="31">
        <v>-4.4236832593358698E-4</v>
      </c>
    </row>
    <row r="5" spans="1:4" x14ac:dyDescent="0.25">
      <c r="A5" s="31" t="s">
        <v>187</v>
      </c>
      <c r="B5" s="31">
        <v>17865000</v>
      </c>
      <c r="C5" s="31">
        <v>-80000.0000000008</v>
      </c>
      <c r="D5" s="31">
        <v>-1.3696143402572601E-4</v>
      </c>
    </row>
    <row r="6" spans="1:4" x14ac:dyDescent="0.25">
      <c r="A6" s="31" t="s">
        <v>225</v>
      </c>
      <c r="B6" s="31">
        <v>17204625.48</v>
      </c>
      <c r="C6" s="31">
        <v>-157196.3352</v>
      </c>
      <c r="D6" s="31">
        <v>-2.6912294365725602E-4</v>
      </c>
    </row>
    <row r="7" spans="1:4" x14ac:dyDescent="0.25">
      <c r="A7" s="31" t="s">
        <v>207</v>
      </c>
      <c r="B7" s="31">
        <v>15978383.82</v>
      </c>
      <c r="C7" s="31">
        <v>-49376.035599999697</v>
      </c>
      <c r="D7" s="32">
        <v>-8.4532658028515096E-5</v>
      </c>
    </row>
    <row r="8" spans="1:4" x14ac:dyDescent="0.25">
      <c r="A8" s="31" t="s">
        <v>45</v>
      </c>
      <c r="B8" s="31">
        <v>11554414.560000001</v>
      </c>
      <c r="C8" s="31">
        <v>-169466.57320000001</v>
      </c>
      <c r="D8" s="31">
        <v>-2.90129811061218E-4</v>
      </c>
    </row>
    <row r="9" spans="1:4" x14ac:dyDescent="0.25">
      <c r="A9" s="31" t="s">
        <v>60</v>
      </c>
      <c r="B9" s="31">
        <v>10933650</v>
      </c>
      <c r="C9" s="31">
        <v>-72800</v>
      </c>
      <c r="D9" s="31">
        <v>-1.2463490496340999E-4</v>
      </c>
    </row>
    <row r="10" spans="1:4" x14ac:dyDescent="0.25">
      <c r="A10" s="31" t="s">
        <v>213</v>
      </c>
      <c r="B10" s="31">
        <v>10128250</v>
      </c>
      <c r="C10" s="31">
        <v>93499.999999999607</v>
      </c>
      <c r="D10" s="31">
        <v>1.60073676017565E-4</v>
      </c>
    </row>
    <row r="11" spans="1:4" x14ac:dyDescent="0.25">
      <c r="A11" s="31" t="s">
        <v>141</v>
      </c>
      <c r="B11" s="31">
        <v>9002000</v>
      </c>
      <c r="C11" s="31">
        <v>-120000</v>
      </c>
      <c r="D11" s="31">
        <v>-2.0544215103858801E-4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3</vt:i4>
      </vt:variant>
    </vt:vector>
  </HeadingPairs>
  <TitlesOfParts>
    <vt:vector size="18" baseType="lpstr">
      <vt:lpstr>Long</vt:lpstr>
      <vt:lpstr>Short</vt:lpstr>
      <vt:lpstr>Consolidated Trades</vt:lpstr>
      <vt:lpstr>Exposure Snap Shot</vt:lpstr>
      <vt:lpstr>Buy</vt:lpstr>
      <vt:lpstr>Cover</vt:lpstr>
      <vt:lpstr>Sell</vt:lpstr>
      <vt:lpstr>Short Trades</vt:lpstr>
      <vt:lpstr>Output_Long</vt:lpstr>
      <vt:lpstr>Output_Short</vt:lpstr>
      <vt:lpstr>Recent Trades_Buy</vt:lpstr>
      <vt:lpstr>Recent Trades_Sell</vt:lpstr>
      <vt:lpstr>Recent Trades_Short</vt:lpstr>
      <vt:lpstr>Sector_Exposure</vt:lpstr>
      <vt:lpstr>Top_10_Stocks_Exposure</vt:lpstr>
      <vt:lpstr>Cover!Print_Area</vt:lpstr>
      <vt:lpstr>'Exposure Snap Shot'!Print_Area</vt:lpstr>
      <vt:lpstr>Long!Print_Titles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RamaKrishna</dc:creator>
  <cp:lastModifiedBy>RamaKrishna</cp:lastModifiedBy>
  <cp:lastPrinted>2018-06-22T10:22:08Z</cp:lastPrinted>
  <dcterms:created xsi:type="dcterms:W3CDTF">2018-06-21T09:21:48Z</dcterms:created>
  <dcterms:modified xsi:type="dcterms:W3CDTF">2018-06-27T06:49:52Z</dcterms:modified>
</cp:coreProperties>
</file>